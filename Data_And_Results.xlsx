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13_ncr:1_{20DBE829-7E6E-41D7-AD54-40A299B14D5C}" xr6:coauthVersionLast="47" xr6:coauthVersionMax="47" xr10:uidLastSave="{00000000-0000-0000-0000-000000000000}"/>
  <bookViews>
    <workbookView xWindow="-108" yWindow="-108" windowWidth="23256" windowHeight="12456" activeTab="5" xr2:uid="{AA4BF0AD-3E95-482B-BCAD-B28E56F198BE}"/>
  </bookViews>
  <sheets>
    <sheet name="DATA" sheetId="1" r:id="rId1"/>
    <sheet name="SPT" sheetId="2" r:id="rId2"/>
    <sheet name="EDD" sheetId="3" r:id="rId3"/>
    <sheet name="HYBRID" sheetId="4" r:id="rId4"/>
    <sheet name="NORMALIZED HYBRID" sheetId="5" r:id="rId5"/>
    <sheet name="RESULTS SHEET" sheetId="6" r:id="rId6"/>
  </sheets>
  <definedNames>
    <definedName name="_xlnm._FilterDatabase" localSheetId="2" hidden="1">EDD!$A$1:$D$31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4" l="1"/>
  <c r="G36" i="5"/>
  <c r="G35" i="5"/>
  <c r="I3" i="5"/>
  <c r="J3" i="5" s="1"/>
  <c r="I4" i="5"/>
  <c r="J4" i="5" s="1"/>
  <c r="I5" i="5"/>
  <c r="J5" i="5" s="1"/>
  <c r="I6" i="5"/>
  <c r="J6" i="5" s="1"/>
  <c r="I7" i="5"/>
  <c r="J7" i="5" s="1"/>
  <c r="I8" i="5"/>
  <c r="J8" i="5" s="1"/>
  <c r="I9" i="5"/>
  <c r="J9" i="5" s="1"/>
  <c r="I10" i="5"/>
  <c r="J10" i="5" s="1"/>
  <c r="I11" i="5"/>
  <c r="J11" i="5" s="1"/>
  <c r="I12" i="5"/>
  <c r="J12" i="5" s="1"/>
  <c r="I13" i="5"/>
  <c r="J13" i="5" s="1"/>
  <c r="I14" i="5"/>
  <c r="J14" i="5" s="1"/>
  <c r="I15" i="5"/>
  <c r="J15" i="5" s="1"/>
  <c r="I16" i="5"/>
  <c r="J16" i="5" s="1"/>
  <c r="I17" i="5"/>
  <c r="J17" i="5" s="1"/>
  <c r="I18" i="5"/>
  <c r="J18" i="5" s="1"/>
  <c r="I19" i="5"/>
  <c r="J19" i="5" s="1"/>
  <c r="I20" i="5"/>
  <c r="J20" i="5" s="1"/>
  <c r="I21" i="5"/>
  <c r="J21" i="5" s="1"/>
  <c r="I22" i="5"/>
  <c r="J22" i="5" s="1"/>
  <c r="I23" i="5"/>
  <c r="J23" i="5" s="1"/>
  <c r="I24" i="5"/>
  <c r="J24" i="5" s="1"/>
  <c r="I25" i="5"/>
  <c r="J25" i="5" s="1"/>
  <c r="I26" i="5"/>
  <c r="J26" i="5" s="1"/>
  <c r="I27" i="5"/>
  <c r="J27" i="5" s="1"/>
  <c r="I28" i="5"/>
  <c r="J28" i="5" s="1"/>
  <c r="I29" i="5"/>
  <c r="J29" i="5" s="1"/>
  <c r="I30" i="5"/>
  <c r="J30" i="5" s="1"/>
  <c r="I31" i="5"/>
  <c r="J31" i="5" s="1"/>
  <c r="J2" i="5"/>
  <c r="I2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" i="5"/>
  <c r="H2" i="5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F35" i="4"/>
  <c r="G3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F34" i="4"/>
  <c r="H2" i="4"/>
  <c r="G2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" i="4"/>
  <c r="F2" i="4"/>
  <c r="E35" i="3"/>
  <c r="E34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G2" i="3"/>
  <c r="F2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" i="3"/>
  <c r="E2" i="3"/>
  <c r="G36" i="2"/>
  <c r="G3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" i="2"/>
  <c r="E2" i="2"/>
  <c r="D33" i="5"/>
  <c r="B33" i="5"/>
  <c r="E19" i="5"/>
  <c r="F26" i="5"/>
  <c r="F3" i="5"/>
  <c r="F10" i="5"/>
  <c r="F11" i="5"/>
  <c r="F7" i="5"/>
  <c r="F6" i="5"/>
  <c r="F2" i="5"/>
  <c r="F5" i="5"/>
  <c r="F4" i="5"/>
  <c r="F21" i="5"/>
  <c r="F17" i="5"/>
  <c r="F31" i="5"/>
  <c r="F30" i="5"/>
  <c r="F22" i="5"/>
  <c r="F8" i="5"/>
  <c r="F23" i="5"/>
  <c r="F12" i="5"/>
  <c r="F29" i="5"/>
  <c r="F13" i="5"/>
  <c r="F28" i="5"/>
  <c r="F24" i="5"/>
  <c r="F20" i="5"/>
  <c r="F14" i="5"/>
  <c r="F25" i="5"/>
  <c r="F16" i="5"/>
  <c r="F18" i="5"/>
  <c r="F15" i="5"/>
  <c r="F9" i="5"/>
  <c r="F27" i="5"/>
  <c r="F19" i="5"/>
  <c r="E3" i="5"/>
  <c r="E10" i="5"/>
  <c r="E11" i="5"/>
  <c r="E7" i="5"/>
  <c r="E6" i="5"/>
  <c r="E2" i="5"/>
  <c r="E5" i="5"/>
  <c r="E4" i="5"/>
  <c r="E21" i="5"/>
  <c r="E17" i="5"/>
  <c r="E31" i="5"/>
  <c r="E30" i="5"/>
  <c r="E22" i="5"/>
  <c r="E8" i="5"/>
  <c r="E23" i="5"/>
  <c r="E12" i="5"/>
  <c r="E29" i="5"/>
  <c r="E13" i="5"/>
  <c r="E28" i="5"/>
  <c r="E24" i="5"/>
  <c r="E20" i="5"/>
  <c r="E14" i="5"/>
  <c r="E25" i="5"/>
  <c r="E16" i="5"/>
  <c r="E18" i="5"/>
  <c r="E15" i="5"/>
  <c r="E9" i="5"/>
  <c r="E27" i="5"/>
  <c r="E26" i="5"/>
  <c r="E9" i="4"/>
  <c r="E31" i="4"/>
  <c r="E23" i="4"/>
  <c r="E19" i="4"/>
  <c r="E14" i="4"/>
  <c r="E22" i="4"/>
  <c r="E15" i="4"/>
  <c r="E21" i="4"/>
  <c r="E10" i="4"/>
  <c r="E26" i="4"/>
  <c r="E20" i="4"/>
  <c r="E3" i="4"/>
  <c r="E18" i="4"/>
  <c r="E11" i="4"/>
  <c r="E4" i="4"/>
  <c r="E5" i="4"/>
  <c r="E6" i="4"/>
  <c r="E2" i="4"/>
  <c r="E8" i="4"/>
  <c r="E17" i="4"/>
  <c r="E28" i="4"/>
  <c r="E16" i="4"/>
  <c r="E24" i="4"/>
  <c r="E12" i="4"/>
  <c r="E7" i="4"/>
  <c r="E30" i="4"/>
  <c r="E25" i="4"/>
  <c r="E13" i="4"/>
  <c r="E27" i="4"/>
  <c r="G12" i="5" l="1"/>
  <c r="G29" i="5"/>
  <c r="G13" i="5"/>
  <c r="G28" i="5"/>
  <c r="G24" i="5"/>
  <c r="G20" i="5"/>
  <c r="G14" i="5"/>
  <c r="G25" i="5"/>
  <c r="G16" i="5"/>
  <c r="G18" i="5"/>
  <c r="G15" i="5"/>
  <c r="G9" i="5"/>
  <c r="G27" i="5"/>
  <c r="G26" i="5"/>
  <c r="G3" i="5"/>
  <c r="G10" i="5"/>
  <c r="G11" i="5"/>
  <c r="G7" i="5"/>
  <c r="G6" i="5"/>
  <c r="G2" i="5"/>
  <c r="G5" i="5"/>
  <c r="G4" i="5"/>
  <c r="G21" i="5"/>
  <c r="G17" i="5"/>
  <c r="G31" i="5"/>
  <c r="G30" i="5"/>
  <c r="G22" i="5"/>
  <c r="G8" i="5"/>
  <c r="G23" i="5"/>
  <c r="G19" i="5"/>
</calcChain>
</file>

<file path=xl/sharedStrings.xml><?xml version="1.0" encoding="utf-8"?>
<sst xmlns="http://schemas.openxmlformats.org/spreadsheetml/2006/main" count="61" uniqueCount="23">
  <si>
    <t>Job</t>
  </si>
  <si>
    <t>Processing time (p)</t>
  </si>
  <si>
    <t>Due Date (d)</t>
  </si>
  <si>
    <t>Slack</t>
  </si>
  <si>
    <t>Completion(C)</t>
  </si>
  <si>
    <t>Lateness(L)</t>
  </si>
  <si>
    <t>Tardiness(T)</t>
  </si>
  <si>
    <t>MEAN FLOW TIME</t>
  </si>
  <si>
    <t>MAX TARDINESS</t>
  </si>
  <si>
    <t>MAXIMUM TARDINESS</t>
  </si>
  <si>
    <t>Score</t>
  </si>
  <si>
    <t>p_max</t>
  </si>
  <si>
    <t>slack_max</t>
  </si>
  <si>
    <t>RULE</t>
  </si>
  <si>
    <t>OBSERVATION</t>
  </si>
  <si>
    <t>SPT</t>
  </si>
  <si>
    <t>Minimum Flow time but higher Tardiness</t>
  </si>
  <si>
    <t>EDD</t>
  </si>
  <si>
    <t xml:space="preserve">Lower Tardiness but higher Flow time </t>
  </si>
  <si>
    <t>HYBRID</t>
  </si>
  <si>
    <t>Balanced Performance</t>
  </si>
  <si>
    <t xml:space="preserve">NORMALIZED HYBRID </t>
  </si>
  <si>
    <t>Best balance between Flow time and Tardiness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</si>
</sst>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5" borderId="1" xfId="0" applyFill="1" applyBorder="1"/>
    <xf numFmtId="0" fontId="3" fillId="6" borderId="1" xfId="0" applyFont="1" applyFill="1" applyBorder="1"/>
    <xf numFmtId="0" fontId="0" fillId="3" borderId="1" xfId="0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 SHEET'!#REF!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 SHEET'!$C$9:$C$12</c:f>
              <c:strCache>
                <c:ptCount val="4"/>
                <c:pt idx="0">
                  <c:v>SPT</c:v>
                </c:pt>
                <c:pt idx="1">
                  <c:v>EDD</c:v>
                </c:pt>
                <c:pt idx="2">
                  <c:v>HYBRID</c:v>
                </c:pt>
                <c:pt idx="3">
                  <c:v>NORMALIZED HYBRID </c:v>
                </c:pt>
              </c:strCache>
            </c:strRef>
          </c:cat>
          <c:val>
            <c:numRef>
              <c:f>'RESULTS SHEET'!#REF!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8-4F6B-9C35-D89AF49939AB}"/>
            </c:ext>
          </c:extLst>
        </c:ser>
        <c:ser>
          <c:idx val="1"/>
          <c:order val="1"/>
          <c:tx>
            <c:strRef>
              <c:f>'RESULTS SHEET'!$E$7:$E$8</c:f>
              <c:strCache>
                <c:ptCount val="2"/>
                <c:pt idx="1">
                  <c:v>MAXIMUM TARDINESS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'RESULTS SHEET'!$C$9:$C$12</c:f>
              <c:strCache>
                <c:ptCount val="4"/>
                <c:pt idx="0">
                  <c:v>SPT</c:v>
                </c:pt>
                <c:pt idx="1">
                  <c:v>EDD</c:v>
                </c:pt>
                <c:pt idx="2">
                  <c:v>HYBRID</c:v>
                </c:pt>
                <c:pt idx="3">
                  <c:v>NORMALIZED HYBRID </c:v>
                </c:pt>
              </c:strCache>
            </c:strRef>
          </c:cat>
          <c:val>
            <c:numRef>
              <c:f>'RESULTS SHEET'!$E$9:$E$12</c:f>
              <c:numCache>
                <c:formatCode>General</c:formatCode>
                <c:ptCount val="4"/>
                <c:pt idx="0">
                  <c:v>408</c:v>
                </c:pt>
                <c:pt idx="1">
                  <c:v>407</c:v>
                </c:pt>
                <c:pt idx="2">
                  <c:v>468</c:v>
                </c:pt>
                <c:pt idx="3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8-4F6B-9C35-D89AF4993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0609887"/>
        <c:axId val="950610367"/>
      </c:barChart>
      <c:catAx>
        <c:axId val="95060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610367"/>
        <c:crosses val="autoZero"/>
        <c:auto val="1"/>
        <c:lblAlgn val="ctr"/>
        <c:lblOffset val="100"/>
        <c:noMultiLvlLbl val="0"/>
      </c:catAx>
      <c:valAx>
        <c:axId val="95061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60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 SHEET'!$C$9</c:f>
              <c:strCache>
                <c:ptCount val="1"/>
                <c:pt idx="0">
                  <c:v>SPT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 SHEET'!$E$8</c:f>
              <c:strCache>
                <c:ptCount val="1"/>
                <c:pt idx="0">
                  <c:v>MAXIMUM TARDINESS</c:v>
                </c:pt>
              </c:strCache>
            </c:strRef>
          </c:cat>
          <c:val>
            <c:numRef>
              <c:f>'RESULTS SHEET'!$E$9</c:f>
              <c:numCache>
                <c:formatCode>General</c:formatCode>
                <c:ptCount val="1"/>
                <c:pt idx="0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B-45E7-8D54-74D17524B574}"/>
            </c:ext>
          </c:extLst>
        </c:ser>
        <c:ser>
          <c:idx val="1"/>
          <c:order val="1"/>
          <c:tx>
            <c:strRef>
              <c:f>'RESULTS SHEET'!$C$10</c:f>
              <c:strCache>
                <c:ptCount val="1"/>
                <c:pt idx="0">
                  <c:v>EDD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'RESULTS SHEET'!$E$8</c:f>
              <c:strCache>
                <c:ptCount val="1"/>
                <c:pt idx="0">
                  <c:v>MAXIMUM TARDINESS</c:v>
                </c:pt>
              </c:strCache>
            </c:strRef>
          </c:cat>
          <c:val>
            <c:numRef>
              <c:f>'RESULTS SHEET'!$E$10</c:f>
              <c:numCache>
                <c:formatCode>General</c:formatCode>
                <c:ptCount val="1"/>
                <c:pt idx="0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B-45E7-8D54-74D17524B574}"/>
            </c:ext>
          </c:extLst>
        </c:ser>
        <c:ser>
          <c:idx val="2"/>
          <c:order val="2"/>
          <c:tx>
            <c:strRef>
              <c:f>'RESULTS SHEET'!$C$11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'RESULTS SHEET'!$E$8</c:f>
              <c:strCache>
                <c:ptCount val="1"/>
                <c:pt idx="0">
                  <c:v>MAXIMUM TARDINESS</c:v>
                </c:pt>
              </c:strCache>
            </c:strRef>
          </c:cat>
          <c:val>
            <c:numRef>
              <c:f>'RESULTS SHEET'!$E$11</c:f>
              <c:numCache>
                <c:formatCode>General</c:formatCode>
                <c:ptCount val="1"/>
                <c:pt idx="0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2B-45E7-8D54-74D17524B574}"/>
            </c:ext>
          </c:extLst>
        </c:ser>
        <c:ser>
          <c:idx val="3"/>
          <c:order val="3"/>
          <c:tx>
            <c:strRef>
              <c:f>'RESULTS SHEET'!$C$12</c:f>
              <c:strCache>
                <c:ptCount val="1"/>
                <c:pt idx="0">
                  <c:v>NORMALIZED HYBRID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'RESULTS SHEET'!$E$8</c:f>
              <c:strCache>
                <c:ptCount val="1"/>
                <c:pt idx="0">
                  <c:v>MAXIMUM TARDINESS</c:v>
                </c:pt>
              </c:strCache>
            </c:strRef>
          </c:cat>
          <c:val>
            <c:numRef>
              <c:f>'RESULTS SHEET'!$E$12</c:f>
              <c:numCache>
                <c:formatCode>General</c:formatCode>
                <c:ptCount val="1"/>
                <c:pt idx="0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2B-45E7-8D54-74D17524B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0636287"/>
        <c:axId val="950638207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'RESULTS SHEET'!$C$13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'RESULTS SHEET'!$E$8</c15:sqref>
                        </c15:formulaRef>
                      </c:ext>
                    </c:extLst>
                    <c:strCache>
                      <c:ptCount val="1"/>
                      <c:pt idx="0">
                        <c:v>MAXIMUM TARDINESS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'RESULTS SHEET'!$E$13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162B-45E7-8D54-74D17524B574}"/>
                  </c:ext>
                </c:extLst>
              </c15:ser>
            </c15:filteredBarSeries>
          </c:ext>
        </c:extLst>
      </c:barChart>
      <c:catAx>
        <c:axId val="95063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638207"/>
        <c:crosses val="autoZero"/>
        <c:auto val="1"/>
        <c:lblAlgn val="ctr"/>
        <c:lblOffset val="100"/>
        <c:noMultiLvlLbl val="0"/>
      </c:catAx>
      <c:valAx>
        <c:axId val="95063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63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 SHEET'!$H$10</c:f>
              <c:strCache>
                <c:ptCount val="1"/>
                <c:pt idx="0">
                  <c:v>SPT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 SHEET'!$I$9:$J$9</c:f>
              <c:strCache>
                <c:ptCount val="2"/>
                <c:pt idx="1">
                  <c:v>MAXIMUM TARDINESS</c:v>
                </c:pt>
              </c:strCache>
            </c:strRef>
          </c:cat>
          <c:val>
            <c:numRef>
              <c:f>'RESULTS SHEET'!$I$10:$J$10</c:f>
              <c:numCache>
                <c:formatCode>General</c:formatCode>
                <c:ptCount val="2"/>
                <c:pt idx="1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7-4F5C-96F1-93A48D0F815C}"/>
            </c:ext>
          </c:extLst>
        </c:ser>
        <c:ser>
          <c:idx val="1"/>
          <c:order val="1"/>
          <c:tx>
            <c:strRef>
              <c:f>'RESULTS SHEET'!$H$11</c:f>
              <c:strCache>
                <c:ptCount val="1"/>
                <c:pt idx="0">
                  <c:v>EDD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'RESULTS SHEET'!$I$9:$J$9</c:f>
              <c:strCache>
                <c:ptCount val="2"/>
                <c:pt idx="1">
                  <c:v>MAXIMUM TARDINESS</c:v>
                </c:pt>
              </c:strCache>
            </c:strRef>
          </c:cat>
          <c:val>
            <c:numRef>
              <c:f>'RESULTS SHEET'!$I$11:$J$11</c:f>
              <c:numCache>
                <c:formatCode>General</c:formatCode>
                <c:ptCount val="2"/>
                <c:pt idx="1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E7-4F5C-96F1-93A48D0F815C}"/>
            </c:ext>
          </c:extLst>
        </c:ser>
        <c:ser>
          <c:idx val="2"/>
          <c:order val="2"/>
          <c:tx>
            <c:strRef>
              <c:f>'RESULTS SHEET'!$H$12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'RESULTS SHEET'!$I$9:$J$9</c:f>
              <c:strCache>
                <c:ptCount val="2"/>
                <c:pt idx="1">
                  <c:v>MAXIMUM TARDINESS</c:v>
                </c:pt>
              </c:strCache>
            </c:strRef>
          </c:cat>
          <c:val>
            <c:numRef>
              <c:f>'RESULTS SHEET'!$I$12:$J$12</c:f>
              <c:numCache>
                <c:formatCode>General</c:formatCode>
                <c:ptCount val="2"/>
                <c:pt idx="1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E7-4F5C-96F1-93A48D0F815C}"/>
            </c:ext>
          </c:extLst>
        </c:ser>
        <c:ser>
          <c:idx val="3"/>
          <c:order val="3"/>
          <c:tx>
            <c:strRef>
              <c:f>'RESULTS SHEET'!$H$13</c:f>
              <c:strCache>
                <c:ptCount val="1"/>
                <c:pt idx="0">
                  <c:v>NORMALIZED HYBRID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'RESULTS SHEET'!$I$9:$J$9</c:f>
              <c:strCache>
                <c:ptCount val="2"/>
                <c:pt idx="1">
                  <c:v>MAXIMUM TARDINESS</c:v>
                </c:pt>
              </c:strCache>
            </c:strRef>
          </c:cat>
          <c:val>
            <c:numRef>
              <c:f>'RESULTS SHEET'!$I$13:$J$13</c:f>
              <c:numCache>
                <c:formatCode>General</c:formatCode>
                <c:ptCount val="2"/>
                <c:pt idx="1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E7-4F5C-96F1-93A48D0F8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898735"/>
        <c:axId val="650904975"/>
      </c:barChart>
      <c:catAx>
        <c:axId val="65089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904975"/>
        <c:crosses val="autoZero"/>
        <c:auto val="1"/>
        <c:lblAlgn val="ctr"/>
        <c:lblOffset val="100"/>
        <c:noMultiLvlLbl val="0"/>
      </c:catAx>
      <c:valAx>
        <c:axId val="65090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89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563880</xdr:colOff>
      <xdr:row>17</xdr:row>
      <xdr:rowOff>11430</xdr:rowOff>
    </xdr:from>
    <xdr:to>
      <xdr:col>13</xdr:col>
      <xdr:colOff>259080</xdr:colOff>
      <xdr:row>32</xdr:row>
      <xdr:rowOff>11430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57FF23D-9753-FF9E-63BF-413435599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73445</xdr:colOff>
      <xdr:row>16</xdr:row>
      <xdr:rowOff>175352</xdr:rowOff>
    </xdr:from>
    <xdr:to>
      <xdr:col>6</xdr:col>
      <xdr:colOff>257059</xdr:colOff>
      <xdr:row>31</xdr:row>
      <xdr:rowOff>164335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080FFA7-DEA4-EF95-0632-2266B82EDC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82626</xdr:colOff>
      <xdr:row>16</xdr:row>
      <xdr:rowOff>166171</xdr:rowOff>
    </xdr:from>
    <xdr:to>
      <xdr:col>3</xdr:col>
      <xdr:colOff>1193494</xdr:colOff>
      <xdr:row>31</xdr:row>
      <xdr:rowOff>155154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4C6DB-AC6A-1405-AFA8-869EE9D33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D122-B643-4D09-9513-A9B511F60673}">
  <dimension ref="A1:D31"/>
  <sheetViews>
    <sheetView workbookViewId="0">
      <selection activeCell="I23" sqref="I23"/>
    </sheetView>
  </sheetViews>
  <sheetFormatPr defaultRowHeight="14.4" x14ac:dyDescent="0.3"/>
  <cols>
    <col min="1" max="1" width="26" customWidth="1"/>
    <col min="2" max="2" width="42.109375" customWidth="1"/>
    <col min="3" max="3" width="41.5546875" customWidth="1"/>
    <col min="5" max="5" width="9.109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1</v>
      </c>
      <c r="B2" s="3">
        <v>10</v>
      </c>
      <c r="C2" s="3">
        <v>59</v>
      </c>
      <c r="D2" s="3">
        <v>49</v>
      </c>
    </row>
    <row r="3" spans="1:4" x14ac:dyDescent="0.3">
      <c r="A3" s="3">
        <v>2</v>
      </c>
      <c r="B3" s="3">
        <v>17</v>
      </c>
      <c r="C3" s="3">
        <v>59</v>
      </c>
      <c r="D3" s="3">
        <v>42</v>
      </c>
    </row>
    <row r="4" spans="1:4" x14ac:dyDescent="0.3">
      <c r="A4" s="3">
        <v>3</v>
      </c>
      <c r="B4" s="3">
        <v>15</v>
      </c>
      <c r="C4" s="3">
        <v>49</v>
      </c>
      <c r="D4" s="3">
        <v>34</v>
      </c>
    </row>
    <row r="5" spans="1:4" x14ac:dyDescent="0.3">
      <c r="A5" s="3">
        <v>4</v>
      </c>
      <c r="B5" s="3">
        <v>14</v>
      </c>
      <c r="C5" s="3">
        <v>62</v>
      </c>
      <c r="D5" s="3">
        <v>48</v>
      </c>
    </row>
    <row r="6" spans="1:4" x14ac:dyDescent="0.3">
      <c r="A6" s="3">
        <v>5</v>
      </c>
      <c r="B6" s="3">
        <v>14</v>
      </c>
      <c r="C6" s="3">
        <v>58</v>
      </c>
      <c r="D6" s="3">
        <v>44</v>
      </c>
    </row>
    <row r="7" spans="1:4" x14ac:dyDescent="0.3">
      <c r="A7" s="3">
        <v>6</v>
      </c>
      <c r="B7" s="3">
        <v>20</v>
      </c>
      <c r="C7" s="3">
        <v>46</v>
      </c>
      <c r="D7" s="3">
        <v>26</v>
      </c>
    </row>
    <row r="8" spans="1:4" x14ac:dyDescent="0.3">
      <c r="A8" s="3">
        <v>7</v>
      </c>
      <c r="B8" s="3">
        <v>20</v>
      </c>
      <c r="C8" s="3">
        <v>41</v>
      </c>
      <c r="D8" s="3">
        <v>21</v>
      </c>
    </row>
    <row r="9" spans="1:4" x14ac:dyDescent="0.3">
      <c r="A9" s="3">
        <v>8</v>
      </c>
      <c r="B9" s="3">
        <v>11</v>
      </c>
      <c r="C9" s="3">
        <v>63</v>
      </c>
      <c r="D9" s="3">
        <v>52</v>
      </c>
    </row>
    <row r="10" spans="1:4" x14ac:dyDescent="0.3">
      <c r="A10" s="3">
        <v>9</v>
      </c>
      <c r="B10" s="3">
        <v>10</v>
      </c>
      <c r="C10" s="3">
        <v>58</v>
      </c>
      <c r="D10" s="3">
        <v>48</v>
      </c>
    </row>
    <row r="11" spans="1:4" x14ac:dyDescent="0.3">
      <c r="A11" s="3">
        <v>10</v>
      </c>
      <c r="B11" s="3">
        <v>18</v>
      </c>
      <c r="C11" s="3">
        <v>46</v>
      </c>
      <c r="D11" s="3">
        <v>28</v>
      </c>
    </row>
    <row r="12" spans="1:4" x14ac:dyDescent="0.3">
      <c r="A12" s="3">
        <v>11</v>
      </c>
      <c r="B12" s="3">
        <v>11</v>
      </c>
      <c r="C12" s="3">
        <v>56</v>
      </c>
      <c r="D12" s="3">
        <v>45</v>
      </c>
    </row>
    <row r="13" spans="1:4" x14ac:dyDescent="0.3">
      <c r="A13" s="3">
        <v>12</v>
      </c>
      <c r="B13" s="3">
        <v>17</v>
      </c>
      <c r="C13" s="3">
        <v>44</v>
      </c>
      <c r="D13" s="3">
        <v>27</v>
      </c>
    </row>
    <row r="14" spans="1:4" x14ac:dyDescent="0.3">
      <c r="A14" s="3">
        <v>13</v>
      </c>
      <c r="B14" s="3">
        <v>16</v>
      </c>
      <c r="C14" s="3">
        <v>58</v>
      </c>
      <c r="D14" s="3">
        <v>42</v>
      </c>
    </row>
    <row r="15" spans="1:4" x14ac:dyDescent="0.3">
      <c r="A15" s="3">
        <v>14</v>
      </c>
      <c r="B15" s="3">
        <v>17</v>
      </c>
      <c r="C15" s="3">
        <v>55</v>
      </c>
      <c r="D15" s="3">
        <v>38</v>
      </c>
    </row>
    <row r="16" spans="1:4" x14ac:dyDescent="0.3">
      <c r="A16" s="3">
        <v>15</v>
      </c>
      <c r="B16" s="3">
        <v>15</v>
      </c>
      <c r="C16" s="3">
        <v>37</v>
      </c>
      <c r="D16" s="3">
        <v>22</v>
      </c>
    </row>
    <row r="17" spans="1:4" x14ac:dyDescent="0.3">
      <c r="A17" s="3">
        <v>16</v>
      </c>
      <c r="B17" s="3">
        <v>12</v>
      </c>
      <c r="C17" s="3">
        <v>52</v>
      </c>
      <c r="D17" s="3">
        <v>40</v>
      </c>
    </row>
    <row r="18" spans="1:4" x14ac:dyDescent="0.3">
      <c r="A18" s="3">
        <v>17</v>
      </c>
      <c r="B18" s="3">
        <v>17</v>
      </c>
      <c r="C18" s="3">
        <v>45</v>
      </c>
      <c r="D18" s="3">
        <v>28</v>
      </c>
    </row>
    <row r="19" spans="1:4" x14ac:dyDescent="0.3">
      <c r="A19" s="3">
        <v>18</v>
      </c>
      <c r="B19" s="3">
        <v>19</v>
      </c>
      <c r="C19" s="3">
        <v>38</v>
      </c>
      <c r="D19" s="3">
        <v>19</v>
      </c>
    </row>
    <row r="20" spans="1:4" x14ac:dyDescent="0.3">
      <c r="A20" s="3">
        <v>19</v>
      </c>
      <c r="B20" s="3">
        <v>17</v>
      </c>
      <c r="C20" s="3">
        <v>39</v>
      </c>
      <c r="D20" s="3">
        <v>22</v>
      </c>
    </row>
    <row r="21" spans="1:4" x14ac:dyDescent="0.3">
      <c r="A21" s="3">
        <v>20</v>
      </c>
      <c r="B21" s="3">
        <v>10</v>
      </c>
      <c r="C21" s="3">
        <v>39</v>
      </c>
      <c r="D21" s="3">
        <v>29</v>
      </c>
    </row>
    <row r="22" spans="1:4" x14ac:dyDescent="0.3">
      <c r="A22" s="3">
        <v>21</v>
      </c>
      <c r="B22" s="3">
        <v>18</v>
      </c>
      <c r="C22" s="3">
        <v>36</v>
      </c>
      <c r="D22" s="3">
        <v>18</v>
      </c>
    </row>
    <row r="23" spans="1:4" x14ac:dyDescent="0.3">
      <c r="A23" s="3">
        <v>22</v>
      </c>
      <c r="B23" s="3">
        <v>13</v>
      </c>
      <c r="C23" s="3">
        <v>42</v>
      </c>
      <c r="D23" s="3">
        <v>29</v>
      </c>
    </row>
    <row r="24" spans="1:4" x14ac:dyDescent="0.3">
      <c r="A24" s="3">
        <v>23</v>
      </c>
      <c r="B24" s="3">
        <v>17</v>
      </c>
      <c r="C24" s="3">
        <v>51</v>
      </c>
      <c r="D24" s="3">
        <v>34</v>
      </c>
    </row>
    <row r="25" spans="1:4" x14ac:dyDescent="0.3">
      <c r="A25" s="3">
        <v>24</v>
      </c>
      <c r="B25" s="3">
        <v>20</v>
      </c>
      <c r="C25" s="3">
        <v>42</v>
      </c>
      <c r="D25" s="3">
        <v>22</v>
      </c>
    </row>
    <row r="26" spans="1:4" x14ac:dyDescent="0.3">
      <c r="A26" s="3">
        <v>25</v>
      </c>
      <c r="B26" s="3">
        <v>20</v>
      </c>
      <c r="C26" s="3">
        <v>63</v>
      </c>
      <c r="D26" s="3">
        <v>43</v>
      </c>
    </row>
    <row r="27" spans="1:4" x14ac:dyDescent="0.3">
      <c r="A27" s="3">
        <v>26</v>
      </c>
      <c r="B27" s="3">
        <v>19</v>
      </c>
      <c r="C27" s="3">
        <v>57</v>
      </c>
      <c r="D27" s="3">
        <v>38</v>
      </c>
    </row>
    <row r="28" spans="1:4" x14ac:dyDescent="0.3">
      <c r="A28" s="3">
        <v>27</v>
      </c>
      <c r="B28" s="3">
        <v>17</v>
      </c>
      <c r="C28" s="3">
        <v>52</v>
      </c>
      <c r="D28" s="3">
        <v>35</v>
      </c>
    </row>
    <row r="29" spans="1:4" x14ac:dyDescent="0.3">
      <c r="A29" s="3">
        <v>28</v>
      </c>
      <c r="B29" s="3">
        <v>15</v>
      </c>
      <c r="C29" s="3">
        <v>46</v>
      </c>
      <c r="D29" s="3">
        <v>31</v>
      </c>
    </row>
    <row r="30" spans="1:4" x14ac:dyDescent="0.3">
      <c r="A30" s="3">
        <v>29</v>
      </c>
      <c r="B30" s="3">
        <v>15</v>
      </c>
      <c r="C30" s="3">
        <v>56</v>
      </c>
      <c r="D30" s="3">
        <v>41</v>
      </c>
    </row>
    <row r="31" spans="1:4" x14ac:dyDescent="0.3">
      <c r="A31" s="3">
        <v>30</v>
      </c>
      <c r="B31" s="3">
        <v>16</v>
      </c>
      <c r="C31" s="3">
        <v>47</v>
      </c>
      <c r="D31" s="3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2E5B-9D91-4307-B3C2-41AD893499EE}">
  <dimension ref="A1:G36"/>
  <sheetViews>
    <sheetView workbookViewId="0">
      <selection activeCell="E34" sqref="E34"/>
    </sheetView>
  </sheetViews>
  <sheetFormatPr defaultRowHeight="14.4" x14ac:dyDescent="0.3"/>
  <cols>
    <col min="1" max="1" width="12.6640625" customWidth="1"/>
    <col min="2" max="2" width="22.44140625" customWidth="1"/>
    <col min="3" max="3" width="24.6640625" customWidth="1"/>
    <col min="5" max="5" width="23" customWidth="1"/>
    <col min="6" max="6" width="21.109375" customWidth="1"/>
    <col min="7" max="7" width="26.6640625" customWidth="1"/>
    <col min="8" max="8" width="15.44140625" customWidth="1"/>
  </cols>
  <sheetData>
    <row r="1" spans="1:7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x14ac:dyDescent="0.3">
      <c r="A2" s="7">
        <v>1</v>
      </c>
      <c r="B2" s="7">
        <v>10</v>
      </c>
      <c r="C2" s="7">
        <v>59</v>
      </c>
      <c r="D2" s="7">
        <v>49</v>
      </c>
      <c r="E2" s="7">
        <f>B2</f>
        <v>10</v>
      </c>
      <c r="F2" s="7">
        <f t="shared" ref="F2:F31" si="0">E2-C2</f>
        <v>-49</v>
      </c>
      <c r="G2" s="7">
        <f t="shared" ref="G2:G31" si="1">MAX(0,F2)</f>
        <v>0</v>
      </c>
    </row>
    <row r="3" spans="1:7" x14ac:dyDescent="0.3">
      <c r="A3" s="7">
        <v>9</v>
      </c>
      <c r="B3" s="7">
        <v>10</v>
      </c>
      <c r="C3" s="7">
        <v>58</v>
      </c>
      <c r="D3" s="7">
        <v>48</v>
      </c>
      <c r="E3" s="7">
        <f t="shared" ref="E3:E31" si="2">E2+B3</f>
        <v>20</v>
      </c>
      <c r="F3" s="7">
        <f t="shared" si="0"/>
        <v>-38</v>
      </c>
      <c r="G3" s="7">
        <f t="shared" si="1"/>
        <v>0</v>
      </c>
    </row>
    <row r="4" spans="1:7" x14ac:dyDescent="0.3">
      <c r="A4" s="7">
        <v>20</v>
      </c>
      <c r="B4" s="7">
        <v>10</v>
      </c>
      <c r="C4" s="7">
        <v>39</v>
      </c>
      <c r="D4" s="7">
        <v>29</v>
      </c>
      <c r="E4" s="7">
        <f t="shared" si="2"/>
        <v>30</v>
      </c>
      <c r="F4" s="7">
        <f t="shared" si="0"/>
        <v>-9</v>
      </c>
      <c r="G4" s="7">
        <f t="shared" si="1"/>
        <v>0</v>
      </c>
    </row>
    <row r="5" spans="1:7" x14ac:dyDescent="0.3">
      <c r="A5" s="7">
        <v>8</v>
      </c>
      <c r="B5" s="7">
        <v>11</v>
      </c>
      <c r="C5" s="7">
        <v>63</v>
      </c>
      <c r="D5" s="7">
        <v>52</v>
      </c>
      <c r="E5" s="7">
        <f t="shared" si="2"/>
        <v>41</v>
      </c>
      <c r="F5" s="7">
        <f t="shared" si="0"/>
        <v>-22</v>
      </c>
      <c r="G5" s="7">
        <f t="shared" si="1"/>
        <v>0</v>
      </c>
    </row>
    <row r="6" spans="1:7" x14ac:dyDescent="0.3">
      <c r="A6" s="7">
        <v>11</v>
      </c>
      <c r="B6" s="7">
        <v>11</v>
      </c>
      <c r="C6" s="7">
        <v>56</v>
      </c>
      <c r="D6" s="7">
        <v>45</v>
      </c>
      <c r="E6" s="7">
        <f t="shared" si="2"/>
        <v>52</v>
      </c>
      <c r="F6" s="7">
        <f t="shared" si="0"/>
        <v>-4</v>
      </c>
      <c r="G6" s="7">
        <f t="shared" si="1"/>
        <v>0</v>
      </c>
    </row>
    <row r="7" spans="1:7" x14ac:dyDescent="0.3">
      <c r="A7" s="7">
        <v>16</v>
      </c>
      <c r="B7" s="7">
        <v>12</v>
      </c>
      <c r="C7" s="7">
        <v>52</v>
      </c>
      <c r="D7" s="7">
        <v>40</v>
      </c>
      <c r="E7" s="7">
        <f t="shared" si="2"/>
        <v>64</v>
      </c>
      <c r="F7" s="7">
        <f t="shared" si="0"/>
        <v>12</v>
      </c>
      <c r="G7" s="7">
        <f t="shared" si="1"/>
        <v>12</v>
      </c>
    </row>
    <row r="8" spans="1:7" x14ac:dyDescent="0.3">
      <c r="A8" s="7">
        <v>22</v>
      </c>
      <c r="B8" s="7">
        <v>13</v>
      </c>
      <c r="C8" s="7">
        <v>42</v>
      </c>
      <c r="D8" s="7">
        <v>29</v>
      </c>
      <c r="E8" s="7">
        <f t="shared" si="2"/>
        <v>77</v>
      </c>
      <c r="F8" s="7">
        <f t="shared" si="0"/>
        <v>35</v>
      </c>
      <c r="G8" s="7">
        <f t="shared" si="1"/>
        <v>35</v>
      </c>
    </row>
    <row r="9" spans="1:7" x14ac:dyDescent="0.3">
      <c r="A9" s="7">
        <v>4</v>
      </c>
      <c r="B9" s="7">
        <v>14</v>
      </c>
      <c r="C9" s="7">
        <v>62</v>
      </c>
      <c r="D9" s="7">
        <v>48</v>
      </c>
      <c r="E9" s="7">
        <f t="shared" si="2"/>
        <v>91</v>
      </c>
      <c r="F9" s="7">
        <f t="shared" si="0"/>
        <v>29</v>
      </c>
      <c r="G9" s="7">
        <f t="shared" si="1"/>
        <v>29</v>
      </c>
    </row>
    <row r="10" spans="1:7" x14ac:dyDescent="0.3">
      <c r="A10" s="7">
        <v>5</v>
      </c>
      <c r="B10" s="7">
        <v>14</v>
      </c>
      <c r="C10" s="7">
        <v>58</v>
      </c>
      <c r="D10" s="7">
        <v>44</v>
      </c>
      <c r="E10" s="7">
        <f t="shared" si="2"/>
        <v>105</v>
      </c>
      <c r="F10" s="7">
        <f t="shared" si="0"/>
        <v>47</v>
      </c>
      <c r="G10" s="7">
        <f t="shared" si="1"/>
        <v>47</v>
      </c>
    </row>
    <row r="11" spans="1:7" x14ac:dyDescent="0.3">
      <c r="A11" s="7">
        <v>3</v>
      </c>
      <c r="B11" s="7">
        <v>15</v>
      </c>
      <c r="C11" s="7">
        <v>49</v>
      </c>
      <c r="D11" s="7">
        <v>34</v>
      </c>
      <c r="E11" s="7">
        <f t="shared" si="2"/>
        <v>120</v>
      </c>
      <c r="F11" s="7">
        <f t="shared" si="0"/>
        <v>71</v>
      </c>
      <c r="G11" s="7">
        <f t="shared" si="1"/>
        <v>71</v>
      </c>
    </row>
    <row r="12" spans="1:7" x14ac:dyDescent="0.3">
      <c r="A12" s="7">
        <v>15</v>
      </c>
      <c r="B12" s="7">
        <v>15</v>
      </c>
      <c r="C12" s="7">
        <v>37</v>
      </c>
      <c r="D12" s="7">
        <v>22</v>
      </c>
      <c r="E12" s="7">
        <f t="shared" si="2"/>
        <v>135</v>
      </c>
      <c r="F12" s="7">
        <f t="shared" si="0"/>
        <v>98</v>
      </c>
      <c r="G12" s="7">
        <f t="shared" si="1"/>
        <v>98</v>
      </c>
    </row>
    <row r="13" spans="1:7" x14ac:dyDescent="0.3">
      <c r="A13" s="7">
        <v>28</v>
      </c>
      <c r="B13" s="7">
        <v>15</v>
      </c>
      <c r="C13" s="7">
        <v>46</v>
      </c>
      <c r="D13" s="7">
        <v>31</v>
      </c>
      <c r="E13" s="7">
        <f t="shared" si="2"/>
        <v>150</v>
      </c>
      <c r="F13" s="7">
        <f t="shared" si="0"/>
        <v>104</v>
      </c>
      <c r="G13" s="7">
        <f t="shared" si="1"/>
        <v>104</v>
      </c>
    </row>
    <row r="14" spans="1:7" x14ac:dyDescent="0.3">
      <c r="A14" s="7">
        <v>29</v>
      </c>
      <c r="B14" s="7">
        <v>15</v>
      </c>
      <c r="C14" s="7">
        <v>56</v>
      </c>
      <c r="D14" s="7">
        <v>41</v>
      </c>
      <c r="E14" s="7">
        <f t="shared" si="2"/>
        <v>165</v>
      </c>
      <c r="F14" s="7">
        <f t="shared" si="0"/>
        <v>109</v>
      </c>
      <c r="G14" s="7">
        <f t="shared" si="1"/>
        <v>109</v>
      </c>
    </row>
    <row r="15" spans="1:7" x14ac:dyDescent="0.3">
      <c r="A15" s="7">
        <v>13</v>
      </c>
      <c r="B15" s="7">
        <v>16</v>
      </c>
      <c r="C15" s="7">
        <v>58</v>
      </c>
      <c r="D15" s="7">
        <v>42</v>
      </c>
      <c r="E15" s="7">
        <f t="shared" si="2"/>
        <v>181</v>
      </c>
      <c r="F15" s="7">
        <f t="shared" si="0"/>
        <v>123</v>
      </c>
      <c r="G15" s="7">
        <f t="shared" si="1"/>
        <v>123</v>
      </c>
    </row>
    <row r="16" spans="1:7" x14ac:dyDescent="0.3">
      <c r="A16" s="7">
        <v>30</v>
      </c>
      <c r="B16" s="7">
        <v>16</v>
      </c>
      <c r="C16" s="7">
        <v>47</v>
      </c>
      <c r="D16" s="7">
        <v>31</v>
      </c>
      <c r="E16" s="7">
        <f t="shared" si="2"/>
        <v>197</v>
      </c>
      <c r="F16" s="7">
        <f t="shared" si="0"/>
        <v>150</v>
      </c>
      <c r="G16" s="7">
        <f t="shared" si="1"/>
        <v>150</v>
      </c>
    </row>
    <row r="17" spans="1:7" x14ac:dyDescent="0.3">
      <c r="A17" s="7">
        <v>2</v>
      </c>
      <c r="B17" s="7">
        <v>17</v>
      </c>
      <c r="C17" s="7">
        <v>59</v>
      </c>
      <c r="D17" s="7">
        <v>42</v>
      </c>
      <c r="E17" s="7">
        <f t="shared" si="2"/>
        <v>214</v>
      </c>
      <c r="F17" s="7">
        <f t="shared" si="0"/>
        <v>155</v>
      </c>
      <c r="G17" s="7">
        <f t="shared" si="1"/>
        <v>155</v>
      </c>
    </row>
    <row r="18" spans="1:7" x14ac:dyDescent="0.3">
      <c r="A18" s="7">
        <v>12</v>
      </c>
      <c r="B18" s="7">
        <v>17</v>
      </c>
      <c r="C18" s="7">
        <v>44</v>
      </c>
      <c r="D18" s="7">
        <v>27</v>
      </c>
      <c r="E18" s="7">
        <f t="shared" si="2"/>
        <v>231</v>
      </c>
      <c r="F18" s="7">
        <f t="shared" si="0"/>
        <v>187</v>
      </c>
      <c r="G18" s="7">
        <f t="shared" si="1"/>
        <v>187</v>
      </c>
    </row>
    <row r="19" spans="1:7" x14ac:dyDescent="0.3">
      <c r="A19" s="7">
        <v>14</v>
      </c>
      <c r="B19" s="7">
        <v>17</v>
      </c>
      <c r="C19" s="7">
        <v>55</v>
      </c>
      <c r="D19" s="7">
        <v>38</v>
      </c>
      <c r="E19" s="7">
        <f t="shared" si="2"/>
        <v>248</v>
      </c>
      <c r="F19" s="7">
        <f t="shared" si="0"/>
        <v>193</v>
      </c>
      <c r="G19" s="7">
        <f t="shared" si="1"/>
        <v>193</v>
      </c>
    </row>
    <row r="20" spans="1:7" x14ac:dyDescent="0.3">
      <c r="A20" s="7">
        <v>17</v>
      </c>
      <c r="B20" s="7">
        <v>17</v>
      </c>
      <c r="C20" s="7">
        <v>45</v>
      </c>
      <c r="D20" s="7">
        <v>28</v>
      </c>
      <c r="E20" s="7">
        <f t="shared" si="2"/>
        <v>265</v>
      </c>
      <c r="F20" s="7">
        <f t="shared" si="0"/>
        <v>220</v>
      </c>
      <c r="G20" s="7">
        <f t="shared" si="1"/>
        <v>220</v>
      </c>
    </row>
    <row r="21" spans="1:7" x14ac:dyDescent="0.3">
      <c r="A21" s="7">
        <v>19</v>
      </c>
      <c r="B21" s="7">
        <v>17</v>
      </c>
      <c r="C21" s="7">
        <v>39</v>
      </c>
      <c r="D21" s="7">
        <v>22</v>
      </c>
      <c r="E21" s="7">
        <f t="shared" si="2"/>
        <v>282</v>
      </c>
      <c r="F21" s="7">
        <f t="shared" si="0"/>
        <v>243</v>
      </c>
      <c r="G21" s="7">
        <f t="shared" si="1"/>
        <v>243</v>
      </c>
    </row>
    <row r="22" spans="1:7" x14ac:dyDescent="0.3">
      <c r="A22" s="7">
        <v>23</v>
      </c>
      <c r="B22" s="7">
        <v>17</v>
      </c>
      <c r="C22" s="7">
        <v>51</v>
      </c>
      <c r="D22" s="7">
        <v>34</v>
      </c>
      <c r="E22" s="7">
        <f t="shared" si="2"/>
        <v>299</v>
      </c>
      <c r="F22" s="7">
        <f t="shared" si="0"/>
        <v>248</v>
      </c>
      <c r="G22" s="7">
        <f t="shared" si="1"/>
        <v>248</v>
      </c>
    </row>
    <row r="23" spans="1:7" x14ac:dyDescent="0.3">
      <c r="A23" s="7">
        <v>27</v>
      </c>
      <c r="B23" s="7">
        <v>17</v>
      </c>
      <c r="C23" s="7">
        <v>52</v>
      </c>
      <c r="D23" s="7">
        <v>35</v>
      </c>
      <c r="E23" s="7">
        <f t="shared" si="2"/>
        <v>316</v>
      </c>
      <c r="F23" s="7">
        <f t="shared" si="0"/>
        <v>264</v>
      </c>
      <c r="G23" s="7">
        <f t="shared" si="1"/>
        <v>264</v>
      </c>
    </row>
    <row r="24" spans="1:7" x14ac:dyDescent="0.3">
      <c r="A24" s="7">
        <v>10</v>
      </c>
      <c r="B24" s="7">
        <v>18</v>
      </c>
      <c r="C24" s="7">
        <v>46</v>
      </c>
      <c r="D24" s="7">
        <v>28</v>
      </c>
      <c r="E24" s="7">
        <f t="shared" si="2"/>
        <v>334</v>
      </c>
      <c r="F24" s="7">
        <f t="shared" si="0"/>
        <v>288</v>
      </c>
      <c r="G24" s="7">
        <f t="shared" si="1"/>
        <v>288</v>
      </c>
    </row>
    <row r="25" spans="1:7" x14ac:dyDescent="0.3">
      <c r="A25" s="7">
        <v>21</v>
      </c>
      <c r="B25" s="7">
        <v>18</v>
      </c>
      <c r="C25" s="7">
        <v>36</v>
      </c>
      <c r="D25" s="7">
        <v>18</v>
      </c>
      <c r="E25" s="7">
        <f t="shared" si="2"/>
        <v>352</v>
      </c>
      <c r="F25" s="7">
        <f t="shared" si="0"/>
        <v>316</v>
      </c>
      <c r="G25" s="7">
        <f t="shared" si="1"/>
        <v>316</v>
      </c>
    </row>
    <row r="26" spans="1:7" x14ac:dyDescent="0.3">
      <c r="A26" s="7">
        <v>18</v>
      </c>
      <c r="B26" s="7">
        <v>19</v>
      </c>
      <c r="C26" s="7">
        <v>38</v>
      </c>
      <c r="D26" s="7">
        <v>19</v>
      </c>
      <c r="E26" s="7">
        <f t="shared" si="2"/>
        <v>371</v>
      </c>
      <c r="F26" s="7">
        <f t="shared" si="0"/>
        <v>333</v>
      </c>
      <c r="G26" s="7">
        <f t="shared" si="1"/>
        <v>333</v>
      </c>
    </row>
    <row r="27" spans="1:7" x14ac:dyDescent="0.3">
      <c r="A27" s="7">
        <v>26</v>
      </c>
      <c r="B27" s="7">
        <v>19</v>
      </c>
      <c r="C27" s="7">
        <v>57</v>
      </c>
      <c r="D27" s="7">
        <v>38</v>
      </c>
      <c r="E27" s="7">
        <f t="shared" si="2"/>
        <v>390</v>
      </c>
      <c r="F27" s="7">
        <f t="shared" si="0"/>
        <v>333</v>
      </c>
      <c r="G27" s="7">
        <f t="shared" si="1"/>
        <v>333</v>
      </c>
    </row>
    <row r="28" spans="1:7" x14ac:dyDescent="0.3">
      <c r="A28" s="7">
        <v>6</v>
      </c>
      <c r="B28" s="7">
        <v>20</v>
      </c>
      <c r="C28" s="7">
        <v>46</v>
      </c>
      <c r="D28" s="7">
        <v>26</v>
      </c>
      <c r="E28" s="7">
        <f t="shared" si="2"/>
        <v>410</v>
      </c>
      <c r="F28" s="7">
        <f t="shared" si="0"/>
        <v>364</v>
      </c>
      <c r="G28" s="7">
        <f t="shared" si="1"/>
        <v>364</v>
      </c>
    </row>
    <row r="29" spans="1:7" x14ac:dyDescent="0.3">
      <c r="A29" s="7">
        <v>7</v>
      </c>
      <c r="B29" s="7">
        <v>20</v>
      </c>
      <c r="C29" s="7">
        <v>41</v>
      </c>
      <c r="D29" s="7">
        <v>21</v>
      </c>
      <c r="E29" s="7">
        <f t="shared" si="2"/>
        <v>430</v>
      </c>
      <c r="F29" s="7">
        <f t="shared" si="0"/>
        <v>389</v>
      </c>
      <c r="G29" s="7">
        <f t="shared" si="1"/>
        <v>389</v>
      </c>
    </row>
    <row r="30" spans="1:7" x14ac:dyDescent="0.3">
      <c r="A30" s="7">
        <v>24</v>
      </c>
      <c r="B30" s="7">
        <v>20</v>
      </c>
      <c r="C30" s="7">
        <v>42</v>
      </c>
      <c r="D30" s="7">
        <v>22</v>
      </c>
      <c r="E30" s="7">
        <f t="shared" si="2"/>
        <v>450</v>
      </c>
      <c r="F30" s="7">
        <f t="shared" si="0"/>
        <v>408</v>
      </c>
      <c r="G30" s="7">
        <f t="shared" si="1"/>
        <v>408</v>
      </c>
    </row>
    <row r="31" spans="1:7" x14ac:dyDescent="0.3">
      <c r="A31" s="7">
        <v>25</v>
      </c>
      <c r="B31" s="7">
        <v>20</v>
      </c>
      <c r="C31" s="7">
        <v>63</v>
      </c>
      <c r="D31" s="7">
        <v>43</v>
      </c>
      <c r="E31" s="7">
        <f t="shared" si="2"/>
        <v>470</v>
      </c>
      <c r="F31" s="7">
        <f t="shared" si="0"/>
        <v>407</v>
      </c>
      <c r="G31" s="7">
        <f t="shared" si="1"/>
        <v>407</v>
      </c>
    </row>
    <row r="35" spans="5:7" x14ac:dyDescent="0.3">
      <c r="E35" s="13"/>
      <c r="F35" s="14" t="s">
        <v>7</v>
      </c>
      <c r="G35" s="15">
        <f>AVERAGE(E2:E31)</f>
        <v>216.66666666666666</v>
      </c>
    </row>
    <row r="36" spans="5:7" x14ac:dyDescent="0.3">
      <c r="E36" s="13"/>
      <c r="F36" s="14" t="s">
        <v>8</v>
      </c>
      <c r="G36" s="15">
        <f>MAX(G2:G31)</f>
        <v>408</v>
      </c>
    </row>
  </sheetData>
  <sortState xmlns:xlrd2="http://schemas.microsoft.com/office/spreadsheetml/2017/richdata2" ref="A2:D31">
    <sortCondition ref="B2:B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7A41-C91D-4F6F-8A72-FA39B14EFDB7}">
  <dimension ref="A1:G35"/>
  <sheetViews>
    <sheetView topLeftCell="C1" workbookViewId="0">
      <selection activeCell="D35" sqref="D35"/>
    </sheetView>
  </sheetViews>
  <sheetFormatPr defaultRowHeight="14.4" x14ac:dyDescent="0.3"/>
  <cols>
    <col min="1" max="1" width="15.44140625" customWidth="1"/>
    <col min="2" max="2" width="35.5546875" customWidth="1"/>
    <col min="3" max="3" width="40" customWidth="1"/>
    <col min="4" max="4" width="22.88671875" customWidth="1"/>
    <col min="5" max="5" width="17" customWidth="1"/>
    <col min="6" max="6" width="12.88671875" customWidth="1"/>
    <col min="7" max="7" width="11.5546875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3">
        <v>21</v>
      </c>
      <c r="B2" s="3">
        <v>18</v>
      </c>
      <c r="C2" s="3">
        <v>36</v>
      </c>
      <c r="D2" s="3">
        <v>18</v>
      </c>
      <c r="E2" s="3">
        <f>B2</f>
        <v>18</v>
      </c>
      <c r="F2" s="3">
        <f t="shared" ref="F2:F31" si="0">E2-C2</f>
        <v>-18</v>
      </c>
      <c r="G2" s="3">
        <f t="shared" ref="G2:G31" si="1">MAX(0,F2)</f>
        <v>0</v>
      </c>
    </row>
    <row r="3" spans="1:7" x14ac:dyDescent="0.3">
      <c r="A3" s="3">
        <v>15</v>
      </c>
      <c r="B3" s="3">
        <v>15</v>
      </c>
      <c r="C3" s="3">
        <v>37</v>
      </c>
      <c r="D3" s="3">
        <v>22</v>
      </c>
      <c r="E3" s="3">
        <f t="shared" ref="E3:E31" si="2">E2+B3</f>
        <v>33</v>
      </c>
      <c r="F3" s="3">
        <f t="shared" si="0"/>
        <v>-4</v>
      </c>
      <c r="G3" s="3">
        <f t="shared" si="1"/>
        <v>0</v>
      </c>
    </row>
    <row r="4" spans="1:7" x14ac:dyDescent="0.3">
      <c r="A4" s="3">
        <v>18</v>
      </c>
      <c r="B4" s="3">
        <v>19</v>
      </c>
      <c r="C4" s="3">
        <v>38</v>
      </c>
      <c r="D4" s="3">
        <v>19</v>
      </c>
      <c r="E4" s="3">
        <f t="shared" si="2"/>
        <v>52</v>
      </c>
      <c r="F4" s="3">
        <f t="shared" si="0"/>
        <v>14</v>
      </c>
      <c r="G4" s="3">
        <f t="shared" si="1"/>
        <v>14</v>
      </c>
    </row>
    <row r="5" spans="1:7" x14ac:dyDescent="0.3">
      <c r="A5" s="3">
        <v>19</v>
      </c>
      <c r="B5" s="3">
        <v>17</v>
      </c>
      <c r="C5" s="3">
        <v>39</v>
      </c>
      <c r="D5" s="3">
        <v>22</v>
      </c>
      <c r="E5" s="3">
        <f t="shared" si="2"/>
        <v>69</v>
      </c>
      <c r="F5" s="3">
        <f t="shared" si="0"/>
        <v>30</v>
      </c>
      <c r="G5" s="3">
        <f t="shared" si="1"/>
        <v>30</v>
      </c>
    </row>
    <row r="6" spans="1:7" x14ac:dyDescent="0.3">
      <c r="A6" s="3">
        <v>20</v>
      </c>
      <c r="B6" s="3">
        <v>10</v>
      </c>
      <c r="C6" s="3">
        <v>39</v>
      </c>
      <c r="D6" s="3">
        <v>29</v>
      </c>
      <c r="E6" s="3">
        <f t="shared" si="2"/>
        <v>79</v>
      </c>
      <c r="F6" s="3">
        <f t="shared" si="0"/>
        <v>40</v>
      </c>
      <c r="G6" s="3">
        <f t="shared" si="1"/>
        <v>40</v>
      </c>
    </row>
    <row r="7" spans="1:7" x14ac:dyDescent="0.3">
      <c r="A7" s="3">
        <v>7</v>
      </c>
      <c r="B7" s="3">
        <v>20</v>
      </c>
      <c r="C7" s="3">
        <v>41</v>
      </c>
      <c r="D7" s="3">
        <v>21</v>
      </c>
      <c r="E7" s="3">
        <f t="shared" si="2"/>
        <v>99</v>
      </c>
      <c r="F7" s="3">
        <f t="shared" si="0"/>
        <v>58</v>
      </c>
      <c r="G7" s="3">
        <f t="shared" si="1"/>
        <v>58</v>
      </c>
    </row>
    <row r="8" spans="1:7" x14ac:dyDescent="0.3">
      <c r="A8" s="3">
        <v>22</v>
      </c>
      <c r="B8" s="3">
        <v>13</v>
      </c>
      <c r="C8" s="3">
        <v>42</v>
      </c>
      <c r="D8" s="3">
        <v>29</v>
      </c>
      <c r="E8" s="3">
        <f t="shared" si="2"/>
        <v>112</v>
      </c>
      <c r="F8" s="3">
        <f t="shared" si="0"/>
        <v>70</v>
      </c>
      <c r="G8" s="3">
        <f t="shared" si="1"/>
        <v>70</v>
      </c>
    </row>
    <row r="9" spans="1:7" x14ac:dyDescent="0.3">
      <c r="A9" s="3">
        <v>24</v>
      </c>
      <c r="B9" s="3">
        <v>20</v>
      </c>
      <c r="C9" s="3">
        <v>42</v>
      </c>
      <c r="D9" s="3">
        <v>22</v>
      </c>
      <c r="E9" s="3">
        <f t="shared" si="2"/>
        <v>132</v>
      </c>
      <c r="F9" s="3">
        <f t="shared" si="0"/>
        <v>90</v>
      </c>
      <c r="G9" s="3">
        <f t="shared" si="1"/>
        <v>90</v>
      </c>
    </row>
    <row r="10" spans="1:7" x14ac:dyDescent="0.3">
      <c r="A10" s="3">
        <v>12</v>
      </c>
      <c r="B10" s="3">
        <v>17</v>
      </c>
      <c r="C10" s="3">
        <v>44</v>
      </c>
      <c r="D10" s="3">
        <v>27</v>
      </c>
      <c r="E10" s="3">
        <f t="shared" si="2"/>
        <v>149</v>
      </c>
      <c r="F10" s="3">
        <f t="shared" si="0"/>
        <v>105</v>
      </c>
      <c r="G10" s="3">
        <f t="shared" si="1"/>
        <v>105</v>
      </c>
    </row>
    <row r="11" spans="1:7" x14ac:dyDescent="0.3">
      <c r="A11" s="3">
        <v>17</v>
      </c>
      <c r="B11" s="3">
        <v>17</v>
      </c>
      <c r="C11" s="3">
        <v>45</v>
      </c>
      <c r="D11" s="3">
        <v>28</v>
      </c>
      <c r="E11" s="3">
        <f t="shared" si="2"/>
        <v>166</v>
      </c>
      <c r="F11" s="3">
        <f t="shared" si="0"/>
        <v>121</v>
      </c>
      <c r="G11" s="3">
        <f t="shared" si="1"/>
        <v>121</v>
      </c>
    </row>
    <row r="12" spans="1:7" x14ac:dyDescent="0.3">
      <c r="A12" s="3">
        <v>6</v>
      </c>
      <c r="B12" s="3">
        <v>20</v>
      </c>
      <c r="C12" s="3">
        <v>46</v>
      </c>
      <c r="D12" s="3">
        <v>26</v>
      </c>
      <c r="E12" s="3">
        <f t="shared" si="2"/>
        <v>186</v>
      </c>
      <c r="F12" s="3">
        <f t="shared" si="0"/>
        <v>140</v>
      </c>
      <c r="G12" s="3">
        <f t="shared" si="1"/>
        <v>140</v>
      </c>
    </row>
    <row r="13" spans="1:7" x14ac:dyDescent="0.3">
      <c r="A13" s="3">
        <v>10</v>
      </c>
      <c r="B13" s="3">
        <v>18</v>
      </c>
      <c r="C13" s="3">
        <v>46</v>
      </c>
      <c r="D13" s="3">
        <v>28</v>
      </c>
      <c r="E13" s="3">
        <f t="shared" si="2"/>
        <v>204</v>
      </c>
      <c r="F13" s="3">
        <f t="shared" si="0"/>
        <v>158</v>
      </c>
      <c r="G13" s="3">
        <f t="shared" si="1"/>
        <v>158</v>
      </c>
    </row>
    <row r="14" spans="1:7" x14ac:dyDescent="0.3">
      <c r="A14" s="3">
        <v>28</v>
      </c>
      <c r="B14" s="3">
        <v>15</v>
      </c>
      <c r="C14" s="3">
        <v>46</v>
      </c>
      <c r="D14" s="3">
        <v>31</v>
      </c>
      <c r="E14" s="3">
        <f t="shared" si="2"/>
        <v>219</v>
      </c>
      <c r="F14" s="3">
        <f t="shared" si="0"/>
        <v>173</v>
      </c>
      <c r="G14" s="3">
        <f t="shared" si="1"/>
        <v>173</v>
      </c>
    </row>
    <row r="15" spans="1:7" x14ac:dyDescent="0.3">
      <c r="A15" s="3">
        <v>30</v>
      </c>
      <c r="B15" s="3">
        <v>16</v>
      </c>
      <c r="C15" s="3">
        <v>47</v>
      </c>
      <c r="D15" s="3">
        <v>31</v>
      </c>
      <c r="E15" s="3">
        <f t="shared" si="2"/>
        <v>235</v>
      </c>
      <c r="F15" s="3">
        <f t="shared" si="0"/>
        <v>188</v>
      </c>
      <c r="G15" s="3">
        <f t="shared" si="1"/>
        <v>188</v>
      </c>
    </row>
    <row r="16" spans="1:7" x14ac:dyDescent="0.3">
      <c r="A16" s="3">
        <v>3</v>
      </c>
      <c r="B16" s="3">
        <v>15</v>
      </c>
      <c r="C16" s="3">
        <v>49</v>
      </c>
      <c r="D16" s="3">
        <v>34</v>
      </c>
      <c r="E16" s="3">
        <f t="shared" si="2"/>
        <v>250</v>
      </c>
      <c r="F16" s="3">
        <f t="shared" si="0"/>
        <v>201</v>
      </c>
      <c r="G16" s="3">
        <f t="shared" si="1"/>
        <v>201</v>
      </c>
    </row>
    <row r="17" spans="1:7" x14ac:dyDescent="0.3">
      <c r="A17" s="3">
        <v>23</v>
      </c>
      <c r="B17" s="3">
        <v>17</v>
      </c>
      <c r="C17" s="3">
        <v>51</v>
      </c>
      <c r="D17" s="3">
        <v>34</v>
      </c>
      <c r="E17" s="3">
        <f t="shared" si="2"/>
        <v>267</v>
      </c>
      <c r="F17" s="3">
        <f t="shared" si="0"/>
        <v>216</v>
      </c>
      <c r="G17" s="3">
        <f t="shared" si="1"/>
        <v>216</v>
      </c>
    </row>
    <row r="18" spans="1:7" x14ac:dyDescent="0.3">
      <c r="A18" s="3">
        <v>16</v>
      </c>
      <c r="B18" s="3">
        <v>12</v>
      </c>
      <c r="C18" s="3">
        <v>52</v>
      </c>
      <c r="D18" s="3">
        <v>40</v>
      </c>
      <c r="E18" s="3">
        <f t="shared" si="2"/>
        <v>279</v>
      </c>
      <c r="F18" s="3">
        <f t="shared" si="0"/>
        <v>227</v>
      </c>
      <c r="G18" s="3">
        <f t="shared" si="1"/>
        <v>227</v>
      </c>
    </row>
    <row r="19" spans="1:7" x14ac:dyDescent="0.3">
      <c r="A19" s="3">
        <v>27</v>
      </c>
      <c r="B19" s="3">
        <v>17</v>
      </c>
      <c r="C19" s="3">
        <v>52</v>
      </c>
      <c r="D19" s="3">
        <v>35</v>
      </c>
      <c r="E19" s="3">
        <f t="shared" si="2"/>
        <v>296</v>
      </c>
      <c r="F19" s="3">
        <f t="shared" si="0"/>
        <v>244</v>
      </c>
      <c r="G19" s="3">
        <f t="shared" si="1"/>
        <v>244</v>
      </c>
    </row>
    <row r="20" spans="1:7" x14ac:dyDescent="0.3">
      <c r="A20" s="3">
        <v>14</v>
      </c>
      <c r="B20" s="3">
        <v>17</v>
      </c>
      <c r="C20" s="3">
        <v>55</v>
      </c>
      <c r="D20" s="3">
        <v>38</v>
      </c>
      <c r="E20" s="3">
        <f t="shared" si="2"/>
        <v>313</v>
      </c>
      <c r="F20" s="3">
        <f t="shared" si="0"/>
        <v>258</v>
      </c>
      <c r="G20" s="3">
        <f t="shared" si="1"/>
        <v>258</v>
      </c>
    </row>
    <row r="21" spans="1:7" x14ac:dyDescent="0.3">
      <c r="A21" s="3">
        <v>11</v>
      </c>
      <c r="B21" s="3">
        <v>11</v>
      </c>
      <c r="C21" s="3">
        <v>56</v>
      </c>
      <c r="D21" s="3">
        <v>45</v>
      </c>
      <c r="E21" s="3">
        <f t="shared" si="2"/>
        <v>324</v>
      </c>
      <c r="F21" s="3">
        <f t="shared" si="0"/>
        <v>268</v>
      </c>
      <c r="G21" s="3">
        <f t="shared" si="1"/>
        <v>268</v>
      </c>
    </row>
    <row r="22" spans="1:7" x14ac:dyDescent="0.3">
      <c r="A22" s="3">
        <v>29</v>
      </c>
      <c r="B22" s="3">
        <v>15</v>
      </c>
      <c r="C22" s="3">
        <v>56</v>
      </c>
      <c r="D22" s="3">
        <v>41</v>
      </c>
      <c r="E22" s="3">
        <f t="shared" si="2"/>
        <v>339</v>
      </c>
      <c r="F22" s="3">
        <f t="shared" si="0"/>
        <v>283</v>
      </c>
      <c r="G22" s="3">
        <f t="shared" si="1"/>
        <v>283</v>
      </c>
    </row>
    <row r="23" spans="1:7" x14ac:dyDescent="0.3">
      <c r="A23" s="3">
        <v>26</v>
      </c>
      <c r="B23" s="3">
        <v>19</v>
      </c>
      <c r="C23" s="3">
        <v>57</v>
      </c>
      <c r="D23" s="3">
        <v>38</v>
      </c>
      <c r="E23" s="3">
        <f t="shared" si="2"/>
        <v>358</v>
      </c>
      <c r="F23" s="3">
        <f t="shared" si="0"/>
        <v>301</v>
      </c>
      <c r="G23" s="3">
        <f t="shared" si="1"/>
        <v>301</v>
      </c>
    </row>
    <row r="24" spans="1:7" x14ac:dyDescent="0.3">
      <c r="A24" s="3">
        <v>5</v>
      </c>
      <c r="B24" s="3">
        <v>14</v>
      </c>
      <c r="C24" s="3">
        <v>58</v>
      </c>
      <c r="D24" s="3">
        <v>44</v>
      </c>
      <c r="E24" s="3">
        <f t="shared" si="2"/>
        <v>372</v>
      </c>
      <c r="F24" s="3">
        <f t="shared" si="0"/>
        <v>314</v>
      </c>
      <c r="G24" s="3">
        <f t="shared" si="1"/>
        <v>314</v>
      </c>
    </row>
    <row r="25" spans="1:7" x14ac:dyDescent="0.3">
      <c r="A25" s="3">
        <v>9</v>
      </c>
      <c r="B25" s="3">
        <v>10</v>
      </c>
      <c r="C25" s="3">
        <v>58</v>
      </c>
      <c r="D25" s="3">
        <v>48</v>
      </c>
      <c r="E25" s="3">
        <f t="shared" si="2"/>
        <v>382</v>
      </c>
      <c r="F25" s="3">
        <f t="shared" si="0"/>
        <v>324</v>
      </c>
      <c r="G25" s="3">
        <f t="shared" si="1"/>
        <v>324</v>
      </c>
    </row>
    <row r="26" spans="1:7" x14ac:dyDescent="0.3">
      <c r="A26" s="3">
        <v>13</v>
      </c>
      <c r="B26" s="3">
        <v>16</v>
      </c>
      <c r="C26" s="3">
        <v>58</v>
      </c>
      <c r="D26" s="3">
        <v>42</v>
      </c>
      <c r="E26" s="3">
        <f t="shared" si="2"/>
        <v>398</v>
      </c>
      <c r="F26" s="3">
        <f t="shared" si="0"/>
        <v>340</v>
      </c>
      <c r="G26" s="3">
        <f t="shared" si="1"/>
        <v>340</v>
      </c>
    </row>
    <row r="27" spans="1:7" x14ac:dyDescent="0.3">
      <c r="A27" s="3">
        <v>1</v>
      </c>
      <c r="B27" s="3">
        <v>10</v>
      </c>
      <c r="C27" s="3">
        <v>59</v>
      </c>
      <c r="D27" s="3">
        <v>49</v>
      </c>
      <c r="E27" s="3">
        <f t="shared" si="2"/>
        <v>408</v>
      </c>
      <c r="F27" s="3">
        <f t="shared" si="0"/>
        <v>349</v>
      </c>
      <c r="G27" s="3">
        <f t="shared" si="1"/>
        <v>349</v>
      </c>
    </row>
    <row r="28" spans="1:7" x14ac:dyDescent="0.3">
      <c r="A28" s="3">
        <v>2</v>
      </c>
      <c r="B28" s="3">
        <v>17</v>
      </c>
      <c r="C28" s="3">
        <v>59</v>
      </c>
      <c r="D28" s="3">
        <v>42</v>
      </c>
      <c r="E28" s="3">
        <f t="shared" si="2"/>
        <v>425</v>
      </c>
      <c r="F28" s="3">
        <f t="shared" si="0"/>
        <v>366</v>
      </c>
      <c r="G28" s="3">
        <f t="shared" si="1"/>
        <v>366</v>
      </c>
    </row>
    <row r="29" spans="1:7" x14ac:dyDescent="0.3">
      <c r="A29" s="3">
        <v>4</v>
      </c>
      <c r="B29" s="3">
        <v>14</v>
      </c>
      <c r="C29" s="3">
        <v>62</v>
      </c>
      <c r="D29" s="3">
        <v>48</v>
      </c>
      <c r="E29" s="3">
        <f t="shared" si="2"/>
        <v>439</v>
      </c>
      <c r="F29" s="3">
        <f t="shared" si="0"/>
        <v>377</v>
      </c>
      <c r="G29" s="3">
        <f t="shared" si="1"/>
        <v>377</v>
      </c>
    </row>
    <row r="30" spans="1:7" x14ac:dyDescent="0.3">
      <c r="A30" s="3">
        <v>8</v>
      </c>
      <c r="B30" s="3">
        <v>11</v>
      </c>
      <c r="C30" s="3">
        <v>63</v>
      </c>
      <c r="D30" s="3">
        <v>52</v>
      </c>
      <c r="E30" s="3">
        <f t="shared" si="2"/>
        <v>450</v>
      </c>
      <c r="F30" s="3">
        <f t="shared" si="0"/>
        <v>387</v>
      </c>
      <c r="G30" s="3">
        <f t="shared" si="1"/>
        <v>387</v>
      </c>
    </row>
    <row r="31" spans="1:7" x14ac:dyDescent="0.3">
      <c r="A31" s="3">
        <v>25</v>
      </c>
      <c r="B31" s="3">
        <v>20</v>
      </c>
      <c r="C31" s="3">
        <v>63</v>
      </c>
      <c r="D31" s="3">
        <v>43</v>
      </c>
      <c r="E31" s="3">
        <f t="shared" si="2"/>
        <v>470</v>
      </c>
      <c r="F31" s="3">
        <f t="shared" si="0"/>
        <v>407</v>
      </c>
      <c r="G31" s="3">
        <f t="shared" si="1"/>
        <v>407</v>
      </c>
    </row>
    <row r="34" spans="4:5" x14ac:dyDescent="0.3">
      <c r="D34" s="6" t="s">
        <v>7</v>
      </c>
      <c r="E34" s="5">
        <f>AVERAGE(E2:E31)</f>
        <v>250.76666666666668</v>
      </c>
    </row>
    <row r="35" spans="4:5" x14ac:dyDescent="0.3">
      <c r="D35" s="6" t="s">
        <v>9</v>
      </c>
      <c r="E35" s="5">
        <f>MAX(G2:G31)</f>
        <v>407</v>
      </c>
    </row>
  </sheetData>
  <sortState xmlns:xlrd2="http://schemas.microsoft.com/office/spreadsheetml/2017/richdata2" ref="A2:D31">
    <sortCondition ref="C2:C3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C601-9E99-416B-8A22-BB3322FBA647}">
  <dimension ref="A1:I36"/>
  <sheetViews>
    <sheetView workbookViewId="0">
      <selection activeCell="E34" sqref="E34:F35"/>
    </sheetView>
  </sheetViews>
  <sheetFormatPr defaultRowHeight="14.4" x14ac:dyDescent="0.3"/>
  <cols>
    <col min="2" max="2" width="22.33203125" customWidth="1"/>
    <col min="3" max="3" width="30" customWidth="1"/>
    <col min="4" max="4" width="19" customWidth="1"/>
    <col min="5" max="5" width="22.6640625" customWidth="1"/>
    <col min="6" max="6" width="14.44140625" customWidth="1"/>
    <col min="7" max="7" width="12.33203125" customWidth="1"/>
    <col min="8" max="8" width="13.109375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10</v>
      </c>
      <c r="F1" s="4" t="s">
        <v>4</v>
      </c>
      <c r="G1" s="4" t="s">
        <v>5</v>
      </c>
      <c r="H1" s="4" t="s">
        <v>6</v>
      </c>
      <c r="I1" s="11"/>
    </row>
    <row r="2" spans="1:9" x14ac:dyDescent="0.3">
      <c r="A2" s="3">
        <v>21</v>
      </c>
      <c r="B2" s="3">
        <v>18</v>
      </c>
      <c r="C2" s="3">
        <v>36</v>
      </c>
      <c r="D2" s="3">
        <v>18</v>
      </c>
      <c r="E2" s="3">
        <f t="shared" ref="E2:E31" si="0">0.5*B2+0.5*(C2-B2)</f>
        <v>18</v>
      </c>
      <c r="F2" s="3">
        <f>B2</f>
        <v>18</v>
      </c>
      <c r="G2" s="3">
        <f t="shared" ref="G2:G31" si="1">F2-2</f>
        <v>16</v>
      </c>
      <c r="H2" s="3">
        <f t="shared" ref="H2:H31" si="2">MAX(0,G2)</f>
        <v>16</v>
      </c>
      <c r="I2" s="11"/>
    </row>
    <row r="3" spans="1:9" x14ac:dyDescent="0.3">
      <c r="A3" s="3">
        <v>15</v>
      </c>
      <c r="B3" s="3">
        <v>15</v>
      </c>
      <c r="C3" s="3">
        <v>37</v>
      </c>
      <c r="D3" s="3">
        <v>22</v>
      </c>
      <c r="E3" s="3">
        <f t="shared" si="0"/>
        <v>18.5</v>
      </c>
      <c r="F3" s="3">
        <f t="shared" ref="F3:F31" si="3">F2+B3</f>
        <v>33</v>
      </c>
      <c r="G3" s="3">
        <f t="shared" si="1"/>
        <v>31</v>
      </c>
      <c r="H3" s="3">
        <f t="shared" si="2"/>
        <v>31</v>
      </c>
      <c r="I3" s="11"/>
    </row>
    <row r="4" spans="1:9" x14ac:dyDescent="0.3">
      <c r="A4" s="3">
        <v>18</v>
      </c>
      <c r="B4" s="3">
        <v>19</v>
      </c>
      <c r="C4" s="3">
        <v>38</v>
      </c>
      <c r="D4" s="3">
        <v>19</v>
      </c>
      <c r="E4" s="3">
        <f t="shared" si="0"/>
        <v>19</v>
      </c>
      <c r="F4" s="3">
        <f t="shared" si="3"/>
        <v>52</v>
      </c>
      <c r="G4" s="3">
        <f t="shared" si="1"/>
        <v>50</v>
      </c>
      <c r="H4" s="3">
        <f t="shared" si="2"/>
        <v>50</v>
      </c>
      <c r="I4" s="11"/>
    </row>
    <row r="5" spans="1:9" x14ac:dyDescent="0.3">
      <c r="A5" s="3">
        <v>19</v>
      </c>
      <c r="B5" s="3">
        <v>17</v>
      </c>
      <c r="C5" s="3">
        <v>39</v>
      </c>
      <c r="D5" s="3">
        <v>22</v>
      </c>
      <c r="E5" s="3">
        <f t="shared" si="0"/>
        <v>19.5</v>
      </c>
      <c r="F5" s="3">
        <f t="shared" si="3"/>
        <v>69</v>
      </c>
      <c r="G5" s="3">
        <f t="shared" si="1"/>
        <v>67</v>
      </c>
      <c r="H5" s="3">
        <f t="shared" si="2"/>
        <v>67</v>
      </c>
      <c r="I5" s="11"/>
    </row>
    <row r="6" spans="1:9" x14ac:dyDescent="0.3">
      <c r="A6" s="3">
        <v>20</v>
      </c>
      <c r="B6" s="3">
        <v>10</v>
      </c>
      <c r="C6" s="3">
        <v>39</v>
      </c>
      <c r="D6" s="3">
        <v>29</v>
      </c>
      <c r="E6" s="3">
        <f t="shared" si="0"/>
        <v>19.5</v>
      </c>
      <c r="F6" s="3">
        <f t="shared" si="3"/>
        <v>79</v>
      </c>
      <c r="G6" s="3">
        <f t="shared" si="1"/>
        <v>77</v>
      </c>
      <c r="H6" s="3">
        <f t="shared" si="2"/>
        <v>77</v>
      </c>
      <c r="I6" s="11"/>
    </row>
    <row r="7" spans="1:9" x14ac:dyDescent="0.3">
      <c r="A7" s="3">
        <v>7</v>
      </c>
      <c r="B7" s="3">
        <v>20</v>
      </c>
      <c r="C7" s="3">
        <v>41</v>
      </c>
      <c r="D7" s="3">
        <v>21</v>
      </c>
      <c r="E7" s="3">
        <f t="shared" si="0"/>
        <v>20.5</v>
      </c>
      <c r="F7" s="3">
        <f t="shared" si="3"/>
        <v>99</v>
      </c>
      <c r="G7" s="3">
        <f t="shared" si="1"/>
        <v>97</v>
      </c>
      <c r="H7" s="3">
        <f t="shared" si="2"/>
        <v>97</v>
      </c>
      <c r="I7" s="11"/>
    </row>
    <row r="8" spans="1:9" x14ac:dyDescent="0.3">
      <c r="A8" s="3">
        <v>22</v>
      </c>
      <c r="B8" s="3">
        <v>13</v>
      </c>
      <c r="C8" s="3">
        <v>42</v>
      </c>
      <c r="D8" s="3">
        <v>29</v>
      </c>
      <c r="E8" s="3">
        <f t="shared" si="0"/>
        <v>21</v>
      </c>
      <c r="F8" s="3">
        <f t="shared" si="3"/>
        <v>112</v>
      </c>
      <c r="G8" s="3">
        <f t="shared" si="1"/>
        <v>110</v>
      </c>
      <c r="H8" s="3">
        <f t="shared" si="2"/>
        <v>110</v>
      </c>
      <c r="I8" s="11"/>
    </row>
    <row r="9" spans="1:9" x14ac:dyDescent="0.3">
      <c r="A9" s="3">
        <v>24</v>
      </c>
      <c r="B9" s="3">
        <v>20</v>
      </c>
      <c r="C9" s="3">
        <v>42</v>
      </c>
      <c r="D9" s="3">
        <v>22</v>
      </c>
      <c r="E9" s="3">
        <f t="shared" si="0"/>
        <v>21</v>
      </c>
      <c r="F9" s="3">
        <f t="shared" si="3"/>
        <v>132</v>
      </c>
      <c r="G9" s="3">
        <f t="shared" si="1"/>
        <v>130</v>
      </c>
      <c r="H9" s="3">
        <f t="shared" si="2"/>
        <v>130</v>
      </c>
      <c r="I9" s="11"/>
    </row>
    <row r="10" spans="1:9" x14ac:dyDescent="0.3">
      <c r="A10" s="3">
        <v>12</v>
      </c>
      <c r="B10" s="3">
        <v>17</v>
      </c>
      <c r="C10" s="3">
        <v>44</v>
      </c>
      <c r="D10" s="3">
        <v>27</v>
      </c>
      <c r="E10" s="3">
        <f t="shared" si="0"/>
        <v>22</v>
      </c>
      <c r="F10" s="3">
        <f t="shared" si="3"/>
        <v>149</v>
      </c>
      <c r="G10" s="3">
        <f t="shared" si="1"/>
        <v>147</v>
      </c>
      <c r="H10" s="3">
        <f t="shared" si="2"/>
        <v>147</v>
      </c>
      <c r="I10" s="11"/>
    </row>
    <row r="11" spans="1:9" x14ac:dyDescent="0.3">
      <c r="A11" s="3">
        <v>17</v>
      </c>
      <c r="B11" s="3">
        <v>17</v>
      </c>
      <c r="C11" s="3">
        <v>45</v>
      </c>
      <c r="D11" s="3">
        <v>28</v>
      </c>
      <c r="E11" s="3">
        <f t="shared" si="0"/>
        <v>22.5</v>
      </c>
      <c r="F11" s="3">
        <f t="shared" si="3"/>
        <v>166</v>
      </c>
      <c r="G11" s="3">
        <f t="shared" si="1"/>
        <v>164</v>
      </c>
      <c r="H11" s="3">
        <f t="shared" si="2"/>
        <v>164</v>
      </c>
      <c r="I11" s="11"/>
    </row>
    <row r="12" spans="1:9" x14ac:dyDescent="0.3">
      <c r="A12" s="3">
        <v>6</v>
      </c>
      <c r="B12" s="3">
        <v>20</v>
      </c>
      <c r="C12" s="3">
        <v>46</v>
      </c>
      <c r="D12" s="3">
        <v>26</v>
      </c>
      <c r="E12" s="3">
        <f t="shared" si="0"/>
        <v>23</v>
      </c>
      <c r="F12" s="3">
        <f t="shared" si="3"/>
        <v>186</v>
      </c>
      <c r="G12" s="3">
        <f t="shared" si="1"/>
        <v>184</v>
      </c>
      <c r="H12" s="3">
        <f t="shared" si="2"/>
        <v>184</v>
      </c>
      <c r="I12" s="11"/>
    </row>
    <row r="13" spans="1:9" x14ac:dyDescent="0.3">
      <c r="A13" s="3">
        <v>10</v>
      </c>
      <c r="B13" s="3">
        <v>18</v>
      </c>
      <c r="C13" s="3">
        <v>46</v>
      </c>
      <c r="D13" s="3">
        <v>28</v>
      </c>
      <c r="E13" s="3">
        <f t="shared" si="0"/>
        <v>23</v>
      </c>
      <c r="F13" s="3">
        <f t="shared" si="3"/>
        <v>204</v>
      </c>
      <c r="G13" s="3">
        <f t="shared" si="1"/>
        <v>202</v>
      </c>
      <c r="H13" s="3">
        <f t="shared" si="2"/>
        <v>202</v>
      </c>
      <c r="I13" s="11"/>
    </row>
    <row r="14" spans="1:9" x14ac:dyDescent="0.3">
      <c r="A14" s="3">
        <v>28</v>
      </c>
      <c r="B14" s="3">
        <v>15</v>
      </c>
      <c r="C14" s="3">
        <v>46</v>
      </c>
      <c r="D14" s="3">
        <v>31</v>
      </c>
      <c r="E14" s="3">
        <f t="shared" si="0"/>
        <v>23</v>
      </c>
      <c r="F14" s="3">
        <f t="shared" si="3"/>
        <v>219</v>
      </c>
      <c r="G14" s="3">
        <f t="shared" si="1"/>
        <v>217</v>
      </c>
      <c r="H14" s="3">
        <f t="shared" si="2"/>
        <v>217</v>
      </c>
      <c r="I14" s="11"/>
    </row>
    <row r="15" spans="1:9" x14ac:dyDescent="0.3">
      <c r="A15" s="3">
        <v>30</v>
      </c>
      <c r="B15" s="3">
        <v>16</v>
      </c>
      <c r="C15" s="3">
        <v>47</v>
      </c>
      <c r="D15" s="3">
        <v>31</v>
      </c>
      <c r="E15" s="3">
        <f t="shared" si="0"/>
        <v>23.5</v>
      </c>
      <c r="F15" s="3">
        <f t="shared" si="3"/>
        <v>235</v>
      </c>
      <c r="G15" s="3">
        <f t="shared" si="1"/>
        <v>233</v>
      </c>
      <c r="H15" s="3">
        <f t="shared" si="2"/>
        <v>233</v>
      </c>
      <c r="I15" s="11"/>
    </row>
    <row r="16" spans="1:9" x14ac:dyDescent="0.3">
      <c r="A16" s="3">
        <v>3</v>
      </c>
      <c r="B16" s="3">
        <v>15</v>
      </c>
      <c r="C16" s="3">
        <v>49</v>
      </c>
      <c r="D16" s="3">
        <v>34</v>
      </c>
      <c r="E16" s="3">
        <f t="shared" si="0"/>
        <v>24.5</v>
      </c>
      <c r="F16" s="3">
        <f t="shared" si="3"/>
        <v>250</v>
      </c>
      <c r="G16" s="3">
        <f t="shared" si="1"/>
        <v>248</v>
      </c>
      <c r="H16" s="3">
        <f t="shared" si="2"/>
        <v>248</v>
      </c>
      <c r="I16" s="11"/>
    </row>
    <row r="17" spans="1:9" x14ac:dyDescent="0.3">
      <c r="A17" s="3">
        <v>23</v>
      </c>
      <c r="B17" s="3">
        <v>17</v>
      </c>
      <c r="C17" s="3">
        <v>51</v>
      </c>
      <c r="D17" s="3">
        <v>34</v>
      </c>
      <c r="E17" s="3">
        <f t="shared" si="0"/>
        <v>25.5</v>
      </c>
      <c r="F17" s="3">
        <f t="shared" si="3"/>
        <v>267</v>
      </c>
      <c r="G17" s="3">
        <f t="shared" si="1"/>
        <v>265</v>
      </c>
      <c r="H17" s="3">
        <f t="shared" si="2"/>
        <v>265</v>
      </c>
      <c r="I17" s="11"/>
    </row>
    <row r="18" spans="1:9" x14ac:dyDescent="0.3">
      <c r="A18" s="3">
        <v>16</v>
      </c>
      <c r="B18" s="3">
        <v>12</v>
      </c>
      <c r="C18" s="3">
        <v>52</v>
      </c>
      <c r="D18" s="3">
        <v>40</v>
      </c>
      <c r="E18" s="3">
        <f t="shared" si="0"/>
        <v>26</v>
      </c>
      <c r="F18" s="3">
        <f t="shared" si="3"/>
        <v>279</v>
      </c>
      <c r="G18" s="3">
        <f t="shared" si="1"/>
        <v>277</v>
      </c>
      <c r="H18" s="3">
        <f t="shared" si="2"/>
        <v>277</v>
      </c>
      <c r="I18" s="11"/>
    </row>
    <row r="19" spans="1:9" x14ac:dyDescent="0.3">
      <c r="A19" s="3">
        <v>27</v>
      </c>
      <c r="B19" s="3">
        <v>17</v>
      </c>
      <c r="C19" s="3">
        <v>52</v>
      </c>
      <c r="D19" s="3">
        <v>35</v>
      </c>
      <c r="E19" s="3">
        <f t="shared" si="0"/>
        <v>26</v>
      </c>
      <c r="F19" s="3">
        <f t="shared" si="3"/>
        <v>296</v>
      </c>
      <c r="G19" s="3">
        <f t="shared" si="1"/>
        <v>294</v>
      </c>
      <c r="H19" s="3">
        <f t="shared" si="2"/>
        <v>294</v>
      </c>
      <c r="I19" s="11"/>
    </row>
    <row r="20" spans="1:9" x14ac:dyDescent="0.3">
      <c r="A20" s="3">
        <v>14</v>
      </c>
      <c r="B20" s="3">
        <v>17</v>
      </c>
      <c r="C20" s="3">
        <v>55</v>
      </c>
      <c r="D20" s="3">
        <v>38</v>
      </c>
      <c r="E20" s="3">
        <f t="shared" si="0"/>
        <v>27.5</v>
      </c>
      <c r="F20" s="3">
        <f t="shared" si="3"/>
        <v>313</v>
      </c>
      <c r="G20" s="3">
        <f t="shared" si="1"/>
        <v>311</v>
      </c>
      <c r="H20" s="3">
        <f t="shared" si="2"/>
        <v>311</v>
      </c>
      <c r="I20" s="11"/>
    </row>
    <row r="21" spans="1:9" x14ac:dyDescent="0.3">
      <c r="A21" s="3">
        <v>11</v>
      </c>
      <c r="B21" s="3">
        <v>11</v>
      </c>
      <c r="C21" s="3">
        <v>56</v>
      </c>
      <c r="D21" s="3">
        <v>45</v>
      </c>
      <c r="E21" s="3">
        <f t="shared" si="0"/>
        <v>28</v>
      </c>
      <c r="F21" s="3">
        <f t="shared" si="3"/>
        <v>324</v>
      </c>
      <c r="G21" s="3">
        <f t="shared" si="1"/>
        <v>322</v>
      </c>
      <c r="H21" s="3">
        <f t="shared" si="2"/>
        <v>322</v>
      </c>
      <c r="I21" s="11"/>
    </row>
    <row r="22" spans="1:9" x14ac:dyDescent="0.3">
      <c r="A22" s="3">
        <v>29</v>
      </c>
      <c r="B22" s="3">
        <v>15</v>
      </c>
      <c r="C22" s="3">
        <v>56</v>
      </c>
      <c r="D22" s="3">
        <v>41</v>
      </c>
      <c r="E22" s="3">
        <f t="shared" si="0"/>
        <v>28</v>
      </c>
      <c r="F22" s="3">
        <f t="shared" si="3"/>
        <v>339</v>
      </c>
      <c r="G22" s="3">
        <f t="shared" si="1"/>
        <v>337</v>
      </c>
      <c r="H22" s="3">
        <f t="shared" si="2"/>
        <v>337</v>
      </c>
      <c r="I22" s="11"/>
    </row>
    <row r="23" spans="1:9" x14ac:dyDescent="0.3">
      <c r="A23" s="3">
        <v>26</v>
      </c>
      <c r="B23" s="3">
        <v>19</v>
      </c>
      <c r="C23" s="3">
        <v>57</v>
      </c>
      <c r="D23" s="3">
        <v>38</v>
      </c>
      <c r="E23" s="3">
        <f t="shared" si="0"/>
        <v>28.5</v>
      </c>
      <c r="F23" s="3">
        <f t="shared" si="3"/>
        <v>358</v>
      </c>
      <c r="G23" s="3">
        <f t="shared" si="1"/>
        <v>356</v>
      </c>
      <c r="H23" s="3">
        <f t="shared" si="2"/>
        <v>356</v>
      </c>
      <c r="I23" s="11"/>
    </row>
    <row r="24" spans="1:9" x14ac:dyDescent="0.3">
      <c r="A24" s="3">
        <v>5</v>
      </c>
      <c r="B24" s="3">
        <v>14</v>
      </c>
      <c r="C24" s="3">
        <v>58</v>
      </c>
      <c r="D24" s="3">
        <v>44</v>
      </c>
      <c r="E24" s="3">
        <f t="shared" si="0"/>
        <v>29</v>
      </c>
      <c r="F24" s="3">
        <f t="shared" si="3"/>
        <v>372</v>
      </c>
      <c r="G24" s="3">
        <f t="shared" si="1"/>
        <v>370</v>
      </c>
      <c r="H24" s="3">
        <f t="shared" si="2"/>
        <v>370</v>
      </c>
      <c r="I24" s="11"/>
    </row>
    <row r="25" spans="1:9" x14ac:dyDescent="0.3">
      <c r="A25" s="3">
        <v>9</v>
      </c>
      <c r="B25" s="3">
        <v>10</v>
      </c>
      <c r="C25" s="3">
        <v>58</v>
      </c>
      <c r="D25" s="3">
        <v>48</v>
      </c>
      <c r="E25" s="3">
        <f t="shared" si="0"/>
        <v>29</v>
      </c>
      <c r="F25" s="3">
        <f t="shared" si="3"/>
        <v>382</v>
      </c>
      <c r="G25" s="3">
        <f t="shared" si="1"/>
        <v>380</v>
      </c>
      <c r="H25" s="3">
        <f t="shared" si="2"/>
        <v>380</v>
      </c>
      <c r="I25" s="11"/>
    </row>
    <row r="26" spans="1:9" x14ac:dyDescent="0.3">
      <c r="A26" s="3">
        <v>13</v>
      </c>
      <c r="B26" s="3">
        <v>16</v>
      </c>
      <c r="C26" s="3">
        <v>58</v>
      </c>
      <c r="D26" s="3">
        <v>42</v>
      </c>
      <c r="E26" s="3">
        <f t="shared" si="0"/>
        <v>29</v>
      </c>
      <c r="F26" s="3">
        <f t="shared" si="3"/>
        <v>398</v>
      </c>
      <c r="G26" s="3">
        <f t="shared" si="1"/>
        <v>396</v>
      </c>
      <c r="H26" s="3">
        <f t="shared" si="2"/>
        <v>396</v>
      </c>
      <c r="I26" s="11"/>
    </row>
    <row r="27" spans="1:9" x14ac:dyDescent="0.3">
      <c r="A27" s="3">
        <v>1</v>
      </c>
      <c r="B27" s="3">
        <v>10</v>
      </c>
      <c r="C27" s="3">
        <v>59</v>
      </c>
      <c r="D27" s="3">
        <v>49</v>
      </c>
      <c r="E27" s="3">
        <f t="shared" si="0"/>
        <v>29.5</v>
      </c>
      <c r="F27" s="3">
        <f t="shared" si="3"/>
        <v>408</v>
      </c>
      <c r="G27" s="3">
        <f t="shared" si="1"/>
        <v>406</v>
      </c>
      <c r="H27" s="3">
        <f t="shared" si="2"/>
        <v>406</v>
      </c>
      <c r="I27" s="11"/>
    </row>
    <row r="28" spans="1:9" x14ac:dyDescent="0.3">
      <c r="A28" s="3">
        <v>2</v>
      </c>
      <c r="B28" s="3">
        <v>17</v>
      </c>
      <c r="C28" s="3">
        <v>59</v>
      </c>
      <c r="D28" s="3">
        <v>42</v>
      </c>
      <c r="E28" s="3">
        <f t="shared" si="0"/>
        <v>29.5</v>
      </c>
      <c r="F28" s="3">
        <f t="shared" si="3"/>
        <v>425</v>
      </c>
      <c r="G28" s="3">
        <f t="shared" si="1"/>
        <v>423</v>
      </c>
      <c r="H28" s="3">
        <f t="shared" si="2"/>
        <v>423</v>
      </c>
      <c r="I28" s="11"/>
    </row>
    <row r="29" spans="1:9" x14ac:dyDescent="0.3">
      <c r="A29" s="3">
        <v>4</v>
      </c>
      <c r="B29" s="3">
        <v>14</v>
      </c>
      <c r="C29" s="3">
        <v>62</v>
      </c>
      <c r="D29" s="3">
        <v>48</v>
      </c>
      <c r="E29" s="3">
        <f t="shared" si="0"/>
        <v>31</v>
      </c>
      <c r="F29" s="3">
        <f t="shared" si="3"/>
        <v>439</v>
      </c>
      <c r="G29" s="3">
        <f t="shared" si="1"/>
        <v>437</v>
      </c>
      <c r="H29" s="3">
        <f t="shared" si="2"/>
        <v>437</v>
      </c>
      <c r="I29" s="11"/>
    </row>
    <row r="30" spans="1:9" x14ac:dyDescent="0.3">
      <c r="A30" s="3">
        <v>8</v>
      </c>
      <c r="B30" s="3">
        <v>11</v>
      </c>
      <c r="C30" s="3">
        <v>63</v>
      </c>
      <c r="D30" s="3">
        <v>52</v>
      </c>
      <c r="E30" s="3">
        <f t="shared" si="0"/>
        <v>31.5</v>
      </c>
      <c r="F30" s="3">
        <f t="shared" si="3"/>
        <v>450</v>
      </c>
      <c r="G30" s="3">
        <f t="shared" si="1"/>
        <v>448</v>
      </c>
      <c r="H30" s="3">
        <f t="shared" si="2"/>
        <v>448</v>
      </c>
      <c r="I30" s="11"/>
    </row>
    <row r="31" spans="1:9" x14ac:dyDescent="0.3">
      <c r="A31" s="3">
        <v>25</v>
      </c>
      <c r="B31" s="3">
        <v>20</v>
      </c>
      <c r="C31" s="3">
        <v>63</v>
      </c>
      <c r="D31" s="3">
        <v>43</v>
      </c>
      <c r="E31" s="3">
        <f t="shared" si="0"/>
        <v>31.5</v>
      </c>
      <c r="F31" s="3">
        <f t="shared" si="3"/>
        <v>470</v>
      </c>
      <c r="G31" s="3">
        <f t="shared" si="1"/>
        <v>468</v>
      </c>
      <c r="H31" s="3">
        <f t="shared" si="2"/>
        <v>468</v>
      </c>
      <c r="I31" s="11"/>
    </row>
    <row r="32" spans="1:9" x14ac:dyDescent="0.3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3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3">
      <c r="A34" s="11"/>
      <c r="B34" s="11"/>
      <c r="C34" s="11"/>
      <c r="D34" s="11"/>
      <c r="E34" s="16" t="s">
        <v>7</v>
      </c>
      <c r="F34" s="17">
        <f>AVERAGE(F2:F31)</f>
        <v>250.76666666666668</v>
      </c>
      <c r="G34" s="11"/>
      <c r="H34" s="11"/>
      <c r="I34" s="11"/>
    </row>
    <row r="35" spans="1:9" x14ac:dyDescent="0.3">
      <c r="A35" s="11"/>
      <c r="B35" s="11"/>
      <c r="C35" s="11"/>
      <c r="D35" s="11"/>
      <c r="E35" s="12" t="s">
        <v>9</v>
      </c>
      <c r="F35" s="17">
        <f>MAX(H2:H31)</f>
        <v>468</v>
      </c>
      <c r="G35" s="11"/>
      <c r="H35" s="11"/>
      <c r="I35" s="11"/>
    </row>
    <row r="36" spans="1:9" x14ac:dyDescent="0.3">
      <c r="A36" s="11"/>
      <c r="B36" s="11"/>
      <c r="C36" s="11"/>
      <c r="D36" s="11"/>
      <c r="E36" s="11"/>
      <c r="F36" s="11"/>
      <c r="G36" s="11"/>
      <c r="H36" s="11"/>
      <c r="I36" s="11"/>
    </row>
  </sheetData>
  <sortState xmlns:xlrd2="http://schemas.microsoft.com/office/spreadsheetml/2017/richdata2" ref="A2:E31">
    <sortCondition ref="E2:E3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9FC9-A7C4-4F76-87BF-AC6362A1396A}">
  <dimension ref="A1:L36"/>
  <sheetViews>
    <sheetView workbookViewId="0">
      <selection activeCell="D34" sqref="D34"/>
    </sheetView>
  </sheetViews>
  <sheetFormatPr defaultRowHeight="14.4" x14ac:dyDescent="0.3"/>
  <cols>
    <col min="2" max="2" width="21.44140625" customWidth="1"/>
    <col min="3" max="3" width="17.109375" customWidth="1"/>
    <col min="4" max="4" width="18.33203125" customWidth="1"/>
    <col min="5" max="5" width="13.109375" customWidth="1"/>
    <col min="6" max="6" width="19.6640625" customWidth="1"/>
    <col min="7" max="7" width="29" customWidth="1"/>
    <col min="8" max="8" width="12.88671875" customWidth="1"/>
    <col min="9" max="9" width="12.5546875" customWidth="1"/>
    <col min="10" max="10" width="13.5546875" customWidth="1"/>
  </cols>
  <sheetData>
    <row r="1" spans="1:12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11</v>
      </c>
      <c r="F1" s="4" t="s">
        <v>12</v>
      </c>
      <c r="G1" s="4" t="s">
        <v>10</v>
      </c>
      <c r="H1" s="4" t="s">
        <v>4</v>
      </c>
      <c r="I1" s="4" t="s">
        <v>5</v>
      </c>
      <c r="J1" s="4" t="s">
        <v>6</v>
      </c>
      <c r="K1" s="10"/>
      <c r="L1" s="10"/>
    </row>
    <row r="2" spans="1:12" x14ac:dyDescent="0.3">
      <c r="A2" s="3">
        <v>20</v>
      </c>
      <c r="B2" s="3">
        <v>10</v>
      </c>
      <c r="C2" s="3">
        <v>39</v>
      </c>
      <c r="D2" s="3">
        <v>29</v>
      </c>
      <c r="E2" s="3">
        <f t="shared" ref="E2:E31" si="0">MAX(B:B)</f>
        <v>20</v>
      </c>
      <c r="F2" s="3">
        <f t="shared" ref="F2:F31" si="1">MAX(D:D)</f>
        <v>52</v>
      </c>
      <c r="G2" s="18">
        <f t="shared" ref="G2:G31" si="2">0.5*(B2/$B$33) + 0.5*(D2/$D$33)</f>
        <v>0.52884615384615385</v>
      </c>
      <c r="H2" s="3">
        <f>B2</f>
        <v>10</v>
      </c>
      <c r="I2" s="3">
        <f t="shared" ref="I2:I31" si="3">H2-C2</f>
        <v>-29</v>
      </c>
      <c r="J2" s="3">
        <f t="shared" ref="J2:J31" si="4">MAX(0,I2)</f>
        <v>0</v>
      </c>
      <c r="K2" s="11"/>
      <c r="L2" s="11"/>
    </row>
    <row r="3" spans="1:12" x14ac:dyDescent="0.3">
      <c r="A3" s="3">
        <v>15</v>
      </c>
      <c r="B3" s="3">
        <v>15</v>
      </c>
      <c r="C3" s="3">
        <v>37</v>
      </c>
      <c r="D3" s="3">
        <v>22</v>
      </c>
      <c r="E3" s="3">
        <f t="shared" si="0"/>
        <v>20</v>
      </c>
      <c r="F3" s="3">
        <f t="shared" si="1"/>
        <v>52</v>
      </c>
      <c r="G3" s="18">
        <f t="shared" si="2"/>
        <v>0.58653846153846156</v>
      </c>
      <c r="H3" s="3">
        <f t="shared" ref="H3:H31" si="5">H2+B3</f>
        <v>25</v>
      </c>
      <c r="I3" s="3">
        <f t="shared" si="3"/>
        <v>-12</v>
      </c>
      <c r="J3" s="3">
        <f t="shared" si="4"/>
        <v>0</v>
      </c>
      <c r="K3" s="11"/>
      <c r="L3" s="11"/>
    </row>
    <row r="4" spans="1:12" x14ac:dyDescent="0.3">
      <c r="A4" s="3">
        <v>22</v>
      </c>
      <c r="B4" s="3">
        <v>13</v>
      </c>
      <c r="C4" s="3">
        <v>42</v>
      </c>
      <c r="D4" s="3">
        <v>29</v>
      </c>
      <c r="E4" s="3">
        <f t="shared" si="0"/>
        <v>20</v>
      </c>
      <c r="F4" s="3">
        <f t="shared" si="1"/>
        <v>52</v>
      </c>
      <c r="G4" s="18">
        <f t="shared" si="2"/>
        <v>0.60384615384615392</v>
      </c>
      <c r="H4" s="3">
        <f t="shared" si="5"/>
        <v>38</v>
      </c>
      <c r="I4" s="3">
        <f t="shared" si="3"/>
        <v>-4</v>
      </c>
      <c r="J4" s="3">
        <f t="shared" si="4"/>
        <v>0</v>
      </c>
      <c r="K4" s="11"/>
      <c r="L4" s="11"/>
    </row>
    <row r="5" spans="1:12" x14ac:dyDescent="0.3">
      <c r="A5" s="3">
        <v>21</v>
      </c>
      <c r="B5" s="3">
        <v>18</v>
      </c>
      <c r="C5" s="3">
        <v>36</v>
      </c>
      <c r="D5" s="3">
        <v>18</v>
      </c>
      <c r="E5" s="3">
        <f t="shared" si="0"/>
        <v>20</v>
      </c>
      <c r="F5" s="3">
        <f t="shared" si="1"/>
        <v>52</v>
      </c>
      <c r="G5" s="18">
        <f t="shared" si="2"/>
        <v>0.62307692307692308</v>
      </c>
      <c r="H5" s="3">
        <f t="shared" si="5"/>
        <v>56</v>
      </c>
      <c r="I5" s="3">
        <f t="shared" si="3"/>
        <v>20</v>
      </c>
      <c r="J5" s="3">
        <f t="shared" si="4"/>
        <v>20</v>
      </c>
      <c r="K5" s="11"/>
      <c r="L5" s="11"/>
    </row>
    <row r="6" spans="1:12" x14ac:dyDescent="0.3">
      <c r="A6" s="3">
        <v>19</v>
      </c>
      <c r="B6" s="3">
        <v>17</v>
      </c>
      <c r="C6" s="3">
        <v>39</v>
      </c>
      <c r="D6" s="3">
        <v>22</v>
      </c>
      <c r="E6" s="3">
        <f t="shared" si="0"/>
        <v>20</v>
      </c>
      <c r="F6" s="3">
        <f t="shared" si="1"/>
        <v>52</v>
      </c>
      <c r="G6" s="18">
        <f t="shared" si="2"/>
        <v>0.6365384615384615</v>
      </c>
      <c r="H6" s="3">
        <f t="shared" si="5"/>
        <v>73</v>
      </c>
      <c r="I6" s="3">
        <f t="shared" si="3"/>
        <v>34</v>
      </c>
      <c r="J6" s="3">
        <f t="shared" si="4"/>
        <v>34</v>
      </c>
      <c r="K6" s="11"/>
      <c r="L6" s="11"/>
    </row>
    <row r="7" spans="1:12" x14ac:dyDescent="0.3">
      <c r="A7" s="3">
        <v>18</v>
      </c>
      <c r="B7" s="3">
        <v>19</v>
      </c>
      <c r="C7" s="3">
        <v>38</v>
      </c>
      <c r="D7" s="3">
        <v>19</v>
      </c>
      <c r="E7" s="3">
        <f t="shared" si="0"/>
        <v>20</v>
      </c>
      <c r="F7" s="3">
        <f t="shared" si="1"/>
        <v>52</v>
      </c>
      <c r="G7" s="18">
        <f t="shared" si="2"/>
        <v>0.65769230769230769</v>
      </c>
      <c r="H7" s="3">
        <f t="shared" si="5"/>
        <v>92</v>
      </c>
      <c r="I7" s="3">
        <f t="shared" si="3"/>
        <v>54</v>
      </c>
      <c r="J7" s="3">
        <f t="shared" si="4"/>
        <v>54</v>
      </c>
      <c r="K7" s="11"/>
      <c r="L7" s="11"/>
    </row>
    <row r="8" spans="1:12" x14ac:dyDescent="0.3">
      <c r="A8" s="3">
        <v>28</v>
      </c>
      <c r="B8" s="3">
        <v>15</v>
      </c>
      <c r="C8" s="3">
        <v>46</v>
      </c>
      <c r="D8" s="3">
        <v>31</v>
      </c>
      <c r="E8" s="3">
        <f t="shared" si="0"/>
        <v>20</v>
      </c>
      <c r="F8" s="3">
        <f t="shared" si="1"/>
        <v>52</v>
      </c>
      <c r="G8" s="18">
        <f t="shared" si="2"/>
        <v>0.67307692307692313</v>
      </c>
      <c r="H8" s="3">
        <f t="shared" si="5"/>
        <v>107</v>
      </c>
      <c r="I8" s="3">
        <f t="shared" si="3"/>
        <v>61</v>
      </c>
      <c r="J8" s="3">
        <f t="shared" si="4"/>
        <v>61</v>
      </c>
      <c r="K8" s="11"/>
      <c r="L8" s="11"/>
    </row>
    <row r="9" spans="1:12" x14ac:dyDescent="0.3">
      <c r="A9" s="3">
        <v>12</v>
      </c>
      <c r="B9" s="3">
        <v>17</v>
      </c>
      <c r="C9" s="3">
        <v>44</v>
      </c>
      <c r="D9" s="3">
        <v>27</v>
      </c>
      <c r="E9" s="3">
        <f t="shared" si="0"/>
        <v>20</v>
      </c>
      <c r="F9" s="3">
        <f t="shared" si="1"/>
        <v>52</v>
      </c>
      <c r="G9" s="18">
        <f t="shared" si="2"/>
        <v>0.68461538461538463</v>
      </c>
      <c r="H9" s="3">
        <f t="shared" si="5"/>
        <v>124</v>
      </c>
      <c r="I9" s="3">
        <f t="shared" si="3"/>
        <v>80</v>
      </c>
      <c r="J9" s="3">
        <f t="shared" si="4"/>
        <v>80</v>
      </c>
      <c r="K9" s="11"/>
      <c r="L9" s="11"/>
    </row>
    <row r="10" spans="1:12" x14ac:dyDescent="0.3">
      <c r="A10" s="3">
        <v>16</v>
      </c>
      <c r="B10" s="3">
        <v>12</v>
      </c>
      <c r="C10" s="3">
        <v>52</v>
      </c>
      <c r="D10" s="3">
        <v>40</v>
      </c>
      <c r="E10" s="3">
        <f t="shared" si="0"/>
        <v>20</v>
      </c>
      <c r="F10" s="3">
        <f t="shared" si="1"/>
        <v>52</v>
      </c>
      <c r="G10" s="18">
        <f t="shared" si="2"/>
        <v>0.68461538461538463</v>
      </c>
      <c r="H10" s="3">
        <f t="shared" si="5"/>
        <v>136</v>
      </c>
      <c r="I10" s="3">
        <f t="shared" si="3"/>
        <v>84</v>
      </c>
      <c r="J10" s="3">
        <f t="shared" si="4"/>
        <v>84</v>
      </c>
      <c r="K10" s="11"/>
      <c r="L10" s="11"/>
    </row>
    <row r="11" spans="1:12" x14ac:dyDescent="0.3">
      <c r="A11" s="3">
        <v>17</v>
      </c>
      <c r="B11" s="3">
        <v>17</v>
      </c>
      <c r="C11" s="3">
        <v>45</v>
      </c>
      <c r="D11" s="3">
        <v>28</v>
      </c>
      <c r="E11" s="3">
        <f t="shared" si="0"/>
        <v>20</v>
      </c>
      <c r="F11" s="3">
        <f t="shared" si="1"/>
        <v>52</v>
      </c>
      <c r="G11" s="18">
        <f t="shared" si="2"/>
        <v>0.69423076923076921</v>
      </c>
      <c r="H11" s="3">
        <f t="shared" si="5"/>
        <v>153</v>
      </c>
      <c r="I11" s="3">
        <f t="shared" si="3"/>
        <v>108</v>
      </c>
      <c r="J11" s="3">
        <f t="shared" si="4"/>
        <v>108</v>
      </c>
      <c r="K11" s="11"/>
      <c r="L11" s="11"/>
    </row>
    <row r="12" spans="1:12" x14ac:dyDescent="0.3">
      <c r="A12" s="3">
        <v>30</v>
      </c>
      <c r="B12" s="3">
        <v>16</v>
      </c>
      <c r="C12" s="3">
        <v>47</v>
      </c>
      <c r="D12" s="3">
        <v>31</v>
      </c>
      <c r="E12" s="3">
        <f t="shared" si="0"/>
        <v>20</v>
      </c>
      <c r="F12" s="3">
        <f t="shared" si="1"/>
        <v>52</v>
      </c>
      <c r="G12" s="18">
        <f t="shared" si="2"/>
        <v>0.69807692307692304</v>
      </c>
      <c r="H12" s="3">
        <f t="shared" si="5"/>
        <v>169</v>
      </c>
      <c r="I12" s="3">
        <f t="shared" si="3"/>
        <v>122</v>
      </c>
      <c r="J12" s="3">
        <f t="shared" si="4"/>
        <v>122</v>
      </c>
      <c r="K12" s="11"/>
      <c r="L12" s="11"/>
    </row>
    <row r="13" spans="1:12" x14ac:dyDescent="0.3">
      <c r="A13" s="3">
        <v>3</v>
      </c>
      <c r="B13" s="3">
        <v>15</v>
      </c>
      <c r="C13" s="3">
        <v>49</v>
      </c>
      <c r="D13" s="3">
        <v>34</v>
      </c>
      <c r="E13" s="3">
        <f t="shared" si="0"/>
        <v>20</v>
      </c>
      <c r="F13" s="3">
        <f t="shared" si="1"/>
        <v>52</v>
      </c>
      <c r="G13" s="18">
        <f t="shared" si="2"/>
        <v>0.70192307692307687</v>
      </c>
      <c r="H13" s="3">
        <f t="shared" si="5"/>
        <v>184</v>
      </c>
      <c r="I13" s="3">
        <f t="shared" si="3"/>
        <v>135</v>
      </c>
      <c r="J13" s="3">
        <f t="shared" si="4"/>
        <v>135</v>
      </c>
      <c r="K13" s="11"/>
      <c r="L13" s="11"/>
    </row>
    <row r="14" spans="1:12" x14ac:dyDescent="0.3">
      <c r="A14" s="3">
        <v>7</v>
      </c>
      <c r="B14" s="3">
        <v>20</v>
      </c>
      <c r="C14" s="3">
        <v>41</v>
      </c>
      <c r="D14" s="3">
        <v>21</v>
      </c>
      <c r="E14" s="3">
        <f t="shared" si="0"/>
        <v>20</v>
      </c>
      <c r="F14" s="3">
        <f t="shared" si="1"/>
        <v>52</v>
      </c>
      <c r="G14" s="18">
        <f t="shared" si="2"/>
        <v>0.70192307692307687</v>
      </c>
      <c r="H14" s="3">
        <f t="shared" si="5"/>
        <v>204</v>
      </c>
      <c r="I14" s="3">
        <f t="shared" si="3"/>
        <v>163</v>
      </c>
      <c r="J14" s="3">
        <f t="shared" si="4"/>
        <v>163</v>
      </c>
      <c r="K14" s="11"/>
      <c r="L14" s="11"/>
    </row>
    <row r="15" spans="1:12" x14ac:dyDescent="0.3">
      <c r="A15" s="3">
        <v>11</v>
      </c>
      <c r="B15" s="3">
        <v>11</v>
      </c>
      <c r="C15" s="3">
        <v>56</v>
      </c>
      <c r="D15" s="3">
        <v>45</v>
      </c>
      <c r="E15" s="3">
        <f t="shared" si="0"/>
        <v>20</v>
      </c>
      <c r="F15" s="3">
        <f t="shared" si="1"/>
        <v>52</v>
      </c>
      <c r="G15" s="18">
        <f t="shared" si="2"/>
        <v>0.70769230769230773</v>
      </c>
      <c r="H15" s="3">
        <f t="shared" si="5"/>
        <v>215</v>
      </c>
      <c r="I15" s="3">
        <f t="shared" si="3"/>
        <v>159</v>
      </c>
      <c r="J15" s="3">
        <f t="shared" si="4"/>
        <v>159</v>
      </c>
      <c r="K15" s="11"/>
      <c r="L15" s="11"/>
    </row>
    <row r="16" spans="1:12" x14ac:dyDescent="0.3">
      <c r="A16" s="3">
        <v>9</v>
      </c>
      <c r="B16" s="3">
        <v>10</v>
      </c>
      <c r="C16" s="3">
        <v>58</v>
      </c>
      <c r="D16" s="3">
        <v>48</v>
      </c>
      <c r="E16" s="3">
        <f t="shared" si="0"/>
        <v>20</v>
      </c>
      <c r="F16" s="3">
        <f t="shared" si="1"/>
        <v>52</v>
      </c>
      <c r="G16" s="18">
        <f t="shared" si="2"/>
        <v>0.71153846153846156</v>
      </c>
      <c r="H16" s="3">
        <f t="shared" si="5"/>
        <v>225</v>
      </c>
      <c r="I16" s="3">
        <f t="shared" si="3"/>
        <v>167</v>
      </c>
      <c r="J16" s="3">
        <f t="shared" si="4"/>
        <v>167</v>
      </c>
      <c r="K16" s="11"/>
      <c r="L16" s="11"/>
    </row>
    <row r="17" spans="1:12" x14ac:dyDescent="0.3">
      <c r="A17" s="3">
        <v>24</v>
      </c>
      <c r="B17" s="3">
        <v>20</v>
      </c>
      <c r="C17" s="3">
        <v>42</v>
      </c>
      <c r="D17" s="3">
        <v>22</v>
      </c>
      <c r="E17" s="3">
        <f t="shared" si="0"/>
        <v>20</v>
      </c>
      <c r="F17" s="3">
        <f t="shared" si="1"/>
        <v>52</v>
      </c>
      <c r="G17" s="18">
        <f t="shared" si="2"/>
        <v>0.71153846153846156</v>
      </c>
      <c r="H17" s="3">
        <f t="shared" si="5"/>
        <v>245</v>
      </c>
      <c r="I17" s="3">
        <f t="shared" si="3"/>
        <v>203</v>
      </c>
      <c r="J17" s="3">
        <f t="shared" si="4"/>
        <v>203</v>
      </c>
      <c r="K17" s="11"/>
      <c r="L17" s="11"/>
    </row>
    <row r="18" spans="1:12" x14ac:dyDescent="0.3">
      <c r="A18" s="3">
        <v>10</v>
      </c>
      <c r="B18" s="3">
        <v>18</v>
      </c>
      <c r="C18" s="3">
        <v>46</v>
      </c>
      <c r="D18" s="3">
        <v>28</v>
      </c>
      <c r="E18" s="3">
        <f t="shared" si="0"/>
        <v>20</v>
      </c>
      <c r="F18" s="3">
        <f t="shared" si="1"/>
        <v>52</v>
      </c>
      <c r="G18" s="18">
        <f t="shared" si="2"/>
        <v>0.71923076923076923</v>
      </c>
      <c r="H18" s="3">
        <f t="shared" si="5"/>
        <v>263</v>
      </c>
      <c r="I18" s="3">
        <f t="shared" si="3"/>
        <v>217</v>
      </c>
      <c r="J18" s="3">
        <f t="shared" si="4"/>
        <v>217</v>
      </c>
      <c r="K18" s="11"/>
      <c r="L18" s="11"/>
    </row>
    <row r="19" spans="1:12" x14ac:dyDescent="0.3">
      <c r="A19" s="3">
        <v>1</v>
      </c>
      <c r="B19" s="3">
        <v>10</v>
      </c>
      <c r="C19" s="3">
        <v>59</v>
      </c>
      <c r="D19" s="3">
        <v>49</v>
      </c>
      <c r="E19" s="3">
        <f t="shared" si="0"/>
        <v>20</v>
      </c>
      <c r="F19" s="3">
        <f t="shared" si="1"/>
        <v>52</v>
      </c>
      <c r="G19" s="18">
        <f t="shared" si="2"/>
        <v>0.72115384615384615</v>
      </c>
      <c r="H19" s="3">
        <f t="shared" si="5"/>
        <v>273</v>
      </c>
      <c r="I19" s="3">
        <f t="shared" si="3"/>
        <v>214</v>
      </c>
      <c r="J19" s="3">
        <f t="shared" si="4"/>
        <v>214</v>
      </c>
      <c r="K19" s="11"/>
      <c r="L19" s="11"/>
    </row>
    <row r="20" spans="1:12" x14ac:dyDescent="0.3">
      <c r="A20" s="3">
        <v>6</v>
      </c>
      <c r="B20" s="3">
        <v>20</v>
      </c>
      <c r="C20" s="3">
        <v>46</v>
      </c>
      <c r="D20" s="3">
        <v>26</v>
      </c>
      <c r="E20" s="3">
        <f t="shared" si="0"/>
        <v>20</v>
      </c>
      <c r="F20" s="3">
        <f t="shared" si="1"/>
        <v>52</v>
      </c>
      <c r="G20" s="18">
        <f t="shared" si="2"/>
        <v>0.75</v>
      </c>
      <c r="H20" s="3">
        <f t="shared" si="5"/>
        <v>293</v>
      </c>
      <c r="I20" s="3">
        <f t="shared" si="3"/>
        <v>247</v>
      </c>
      <c r="J20" s="3">
        <f t="shared" si="4"/>
        <v>247</v>
      </c>
      <c r="K20" s="11"/>
      <c r="L20" s="11"/>
    </row>
    <row r="21" spans="1:12" x14ac:dyDescent="0.3">
      <c r="A21" s="3">
        <v>23</v>
      </c>
      <c r="B21" s="3">
        <v>17</v>
      </c>
      <c r="C21" s="3">
        <v>51</v>
      </c>
      <c r="D21" s="3">
        <v>34</v>
      </c>
      <c r="E21" s="3">
        <f t="shared" si="0"/>
        <v>20</v>
      </c>
      <c r="F21" s="3">
        <f t="shared" si="1"/>
        <v>52</v>
      </c>
      <c r="G21" s="18">
        <f t="shared" si="2"/>
        <v>0.75192307692307692</v>
      </c>
      <c r="H21" s="3">
        <f t="shared" si="5"/>
        <v>310</v>
      </c>
      <c r="I21" s="3">
        <f t="shared" si="3"/>
        <v>259</v>
      </c>
      <c r="J21" s="3">
        <f t="shared" si="4"/>
        <v>259</v>
      </c>
      <c r="K21" s="11"/>
      <c r="L21" s="11"/>
    </row>
    <row r="22" spans="1:12" x14ac:dyDescent="0.3">
      <c r="A22" s="3">
        <v>27</v>
      </c>
      <c r="B22" s="3">
        <v>17</v>
      </c>
      <c r="C22" s="3">
        <v>52</v>
      </c>
      <c r="D22" s="3">
        <v>35</v>
      </c>
      <c r="E22" s="3">
        <f t="shared" si="0"/>
        <v>20</v>
      </c>
      <c r="F22" s="3">
        <f t="shared" si="1"/>
        <v>52</v>
      </c>
      <c r="G22" s="18">
        <f t="shared" si="2"/>
        <v>0.7615384615384615</v>
      </c>
      <c r="H22" s="3">
        <f t="shared" si="5"/>
        <v>327</v>
      </c>
      <c r="I22" s="3">
        <f t="shared" si="3"/>
        <v>275</v>
      </c>
      <c r="J22" s="3">
        <f t="shared" si="4"/>
        <v>275</v>
      </c>
      <c r="K22" s="11"/>
      <c r="L22" s="11"/>
    </row>
    <row r="23" spans="1:12" x14ac:dyDescent="0.3">
      <c r="A23" s="3">
        <v>29</v>
      </c>
      <c r="B23" s="3">
        <v>15</v>
      </c>
      <c r="C23" s="3">
        <v>56</v>
      </c>
      <c r="D23" s="3">
        <v>41</v>
      </c>
      <c r="E23" s="3">
        <f t="shared" si="0"/>
        <v>20</v>
      </c>
      <c r="F23" s="3">
        <f t="shared" si="1"/>
        <v>52</v>
      </c>
      <c r="G23" s="18">
        <f t="shared" si="2"/>
        <v>0.76923076923076916</v>
      </c>
      <c r="H23" s="3">
        <f t="shared" si="5"/>
        <v>342</v>
      </c>
      <c r="I23" s="3">
        <f t="shared" si="3"/>
        <v>286</v>
      </c>
      <c r="J23" s="3">
        <f t="shared" si="4"/>
        <v>286</v>
      </c>
      <c r="K23" s="11"/>
      <c r="L23" s="11"/>
    </row>
    <row r="24" spans="1:12" x14ac:dyDescent="0.3">
      <c r="A24" s="3">
        <v>5</v>
      </c>
      <c r="B24" s="3">
        <v>14</v>
      </c>
      <c r="C24" s="3">
        <v>58</v>
      </c>
      <c r="D24" s="3">
        <v>44</v>
      </c>
      <c r="E24" s="3">
        <f t="shared" si="0"/>
        <v>20</v>
      </c>
      <c r="F24" s="3">
        <f t="shared" si="1"/>
        <v>52</v>
      </c>
      <c r="G24" s="18">
        <f t="shared" si="2"/>
        <v>0.77307692307692299</v>
      </c>
      <c r="H24" s="3">
        <f t="shared" si="5"/>
        <v>356</v>
      </c>
      <c r="I24" s="3">
        <f t="shared" si="3"/>
        <v>298</v>
      </c>
      <c r="J24" s="3">
        <f t="shared" si="4"/>
        <v>298</v>
      </c>
      <c r="K24" s="11"/>
      <c r="L24" s="11"/>
    </row>
    <row r="25" spans="1:12" x14ac:dyDescent="0.3">
      <c r="A25" s="3">
        <v>8</v>
      </c>
      <c r="B25" s="3">
        <v>11</v>
      </c>
      <c r="C25" s="3">
        <v>63</v>
      </c>
      <c r="D25" s="3">
        <v>52</v>
      </c>
      <c r="E25" s="3">
        <f t="shared" si="0"/>
        <v>20</v>
      </c>
      <c r="F25" s="3">
        <f t="shared" si="1"/>
        <v>52</v>
      </c>
      <c r="G25" s="18">
        <f t="shared" si="2"/>
        <v>0.77500000000000002</v>
      </c>
      <c r="H25" s="3">
        <f t="shared" si="5"/>
        <v>367</v>
      </c>
      <c r="I25" s="3">
        <f t="shared" si="3"/>
        <v>304</v>
      </c>
      <c r="J25" s="3">
        <f t="shared" si="4"/>
        <v>304</v>
      </c>
      <c r="K25" s="11"/>
      <c r="L25" s="11"/>
    </row>
    <row r="26" spans="1:12" x14ac:dyDescent="0.3">
      <c r="A26" s="3">
        <v>14</v>
      </c>
      <c r="B26" s="3">
        <v>17</v>
      </c>
      <c r="C26" s="3">
        <v>55</v>
      </c>
      <c r="D26" s="3">
        <v>38</v>
      </c>
      <c r="E26" s="3">
        <f t="shared" si="0"/>
        <v>20</v>
      </c>
      <c r="F26" s="3">
        <f t="shared" si="1"/>
        <v>52</v>
      </c>
      <c r="G26" s="18">
        <f t="shared" si="2"/>
        <v>0.79038461538461535</v>
      </c>
      <c r="H26" s="3">
        <f t="shared" si="5"/>
        <v>384</v>
      </c>
      <c r="I26" s="3">
        <f t="shared" si="3"/>
        <v>329</v>
      </c>
      <c r="J26" s="3">
        <f t="shared" si="4"/>
        <v>329</v>
      </c>
      <c r="K26" s="11"/>
      <c r="L26" s="11"/>
    </row>
    <row r="27" spans="1:12" x14ac:dyDescent="0.3">
      <c r="A27" s="3">
        <v>13</v>
      </c>
      <c r="B27" s="3">
        <v>16</v>
      </c>
      <c r="C27" s="3">
        <v>58</v>
      </c>
      <c r="D27" s="3">
        <v>42</v>
      </c>
      <c r="E27" s="3">
        <f t="shared" si="0"/>
        <v>20</v>
      </c>
      <c r="F27" s="3">
        <f t="shared" si="1"/>
        <v>52</v>
      </c>
      <c r="G27" s="18">
        <f t="shared" si="2"/>
        <v>0.80384615384615388</v>
      </c>
      <c r="H27" s="3">
        <f t="shared" si="5"/>
        <v>400</v>
      </c>
      <c r="I27" s="3">
        <f t="shared" si="3"/>
        <v>342</v>
      </c>
      <c r="J27" s="3">
        <f t="shared" si="4"/>
        <v>342</v>
      </c>
      <c r="K27" s="11"/>
      <c r="L27" s="11"/>
    </row>
    <row r="28" spans="1:12" x14ac:dyDescent="0.3">
      <c r="A28" s="3">
        <v>4</v>
      </c>
      <c r="B28" s="3">
        <v>14</v>
      </c>
      <c r="C28" s="3">
        <v>62</v>
      </c>
      <c r="D28" s="3">
        <v>48</v>
      </c>
      <c r="E28" s="3">
        <f t="shared" si="0"/>
        <v>20</v>
      </c>
      <c r="F28" s="3">
        <f t="shared" si="1"/>
        <v>52</v>
      </c>
      <c r="G28" s="18">
        <f t="shared" si="2"/>
        <v>0.81153846153846154</v>
      </c>
      <c r="H28" s="3">
        <f t="shared" si="5"/>
        <v>414</v>
      </c>
      <c r="I28" s="3">
        <f t="shared" si="3"/>
        <v>352</v>
      </c>
      <c r="J28" s="3">
        <f t="shared" si="4"/>
        <v>352</v>
      </c>
      <c r="K28" s="11"/>
      <c r="L28" s="11"/>
    </row>
    <row r="29" spans="1:12" x14ac:dyDescent="0.3">
      <c r="A29" s="3">
        <v>2</v>
      </c>
      <c r="B29" s="3">
        <v>17</v>
      </c>
      <c r="C29" s="3">
        <v>59</v>
      </c>
      <c r="D29" s="3">
        <v>42</v>
      </c>
      <c r="E29" s="3">
        <f t="shared" si="0"/>
        <v>20</v>
      </c>
      <c r="F29" s="3">
        <f t="shared" si="1"/>
        <v>52</v>
      </c>
      <c r="G29" s="18">
        <f t="shared" si="2"/>
        <v>0.82884615384615379</v>
      </c>
      <c r="H29" s="3">
        <f t="shared" si="5"/>
        <v>431</v>
      </c>
      <c r="I29" s="3">
        <f t="shared" si="3"/>
        <v>372</v>
      </c>
      <c r="J29" s="3">
        <f t="shared" si="4"/>
        <v>372</v>
      </c>
      <c r="K29" s="11"/>
      <c r="L29" s="11"/>
    </row>
    <row r="30" spans="1:12" x14ac:dyDescent="0.3">
      <c r="A30" s="3">
        <v>26</v>
      </c>
      <c r="B30" s="3">
        <v>19</v>
      </c>
      <c r="C30" s="3">
        <v>57</v>
      </c>
      <c r="D30" s="3">
        <v>38</v>
      </c>
      <c r="E30" s="3">
        <f t="shared" si="0"/>
        <v>20</v>
      </c>
      <c r="F30" s="3">
        <f t="shared" si="1"/>
        <v>52</v>
      </c>
      <c r="G30" s="18">
        <f t="shared" si="2"/>
        <v>0.84038461538461529</v>
      </c>
      <c r="H30" s="3">
        <f t="shared" si="5"/>
        <v>450</v>
      </c>
      <c r="I30" s="3">
        <f t="shared" si="3"/>
        <v>393</v>
      </c>
      <c r="J30" s="3">
        <f t="shared" si="4"/>
        <v>393</v>
      </c>
      <c r="K30" s="11"/>
      <c r="L30" s="11"/>
    </row>
    <row r="31" spans="1:12" x14ac:dyDescent="0.3">
      <c r="A31" s="3">
        <v>25</v>
      </c>
      <c r="B31" s="3">
        <v>20</v>
      </c>
      <c r="C31" s="3">
        <v>63</v>
      </c>
      <c r="D31" s="3">
        <v>43</v>
      </c>
      <c r="E31" s="3">
        <f t="shared" si="0"/>
        <v>20</v>
      </c>
      <c r="F31" s="3">
        <f t="shared" si="1"/>
        <v>52</v>
      </c>
      <c r="G31" s="18">
        <f t="shared" si="2"/>
        <v>0.91346153846153844</v>
      </c>
      <c r="H31" s="3">
        <f t="shared" si="5"/>
        <v>470</v>
      </c>
      <c r="I31" s="3">
        <f t="shared" si="3"/>
        <v>407</v>
      </c>
      <c r="J31" s="3">
        <f t="shared" si="4"/>
        <v>407</v>
      </c>
      <c r="K31" s="11"/>
      <c r="L31" s="11"/>
    </row>
    <row r="32" spans="1:12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x14ac:dyDescent="0.3">
      <c r="A33" s="11"/>
      <c r="B33" s="11">
        <f>MAX(B2:B31)</f>
        <v>20</v>
      </c>
      <c r="C33" s="11"/>
      <c r="D33" s="11">
        <f>MAX(D2:D31)</f>
        <v>52</v>
      </c>
      <c r="E33" s="11"/>
      <c r="F33" s="11"/>
      <c r="G33" s="11"/>
      <c r="H33" s="11"/>
      <c r="I33" s="11"/>
      <c r="J33" s="11"/>
      <c r="K33" s="11"/>
      <c r="L33" s="11"/>
    </row>
    <row r="34" spans="1:12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x14ac:dyDescent="0.3">
      <c r="A35" s="11"/>
      <c r="B35" s="11"/>
      <c r="C35" s="11"/>
      <c r="D35" s="11"/>
      <c r="E35" s="11"/>
      <c r="F35" s="19" t="s">
        <v>7</v>
      </c>
      <c r="G35" s="17">
        <f>AVERAGE(H2:H31)</f>
        <v>237.86666666666667</v>
      </c>
      <c r="H35" s="11"/>
      <c r="I35" s="11"/>
      <c r="J35" s="11"/>
      <c r="K35" s="11"/>
      <c r="L35" s="11"/>
    </row>
    <row r="36" spans="1:12" ht="28.8" x14ac:dyDescent="0.3">
      <c r="A36" s="11"/>
      <c r="B36" s="11"/>
      <c r="C36" s="11"/>
      <c r="D36" s="11"/>
      <c r="E36" s="11"/>
      <c r="F36" s="19" t="s">
        <v>9</v>
      </c>
      <c r="G36" s="17">
        <f>MAX(J2,J31)</f>
        <v>407</v>
      </c>
      <c r="H36" s="11"/>
      <c r="I36" s="11"/>
      <c r="J36" s="11"/>
      <c r="K36" s="11"/>
      <c r="L36" s="11"/>
    </row>
  </sheetData>
  <sortState xmlns:xlrd2="http://schemas.microsoft.com/office/spreadsheetml/2017/richdata2" ref="A2:G31">
    <sortCondition ref="G2:G3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462AC-0DBD-4C29-8638-B24230E2E8C4}">
  <dimension ref="A1:J13"/>
  <sheetViews>
    <sheetView tabSelected="1" topLeftCell="A3" zoomScale="83" workbookViewId="0">
      <selection activeCell="K14" sqref="K14"/>
    </sheetView>
  </sheetViews>
  <sheetFormatPr defaultRowHeight="14.4" x14ac:dyDescent="0.3"/>
  <cols>
    <col min="1" max="1" width="20.44140625" customWidth="1"/>
    <col min="2" max="2" width="30.44140625" customWidth="1"/>
    <col min="3" max="4" width="20.109375" customWidth="1"/>
    <col min="5" max="5" width="21.6640625" customWidth="1"/>
    <col min="6" max="6" width="42.33203125" customWidth="1"/>
    <col min="8" max="8" width="15.21875" customWidth="1"/>
    <col min="9" max="9" width="0.21875" customWidth="1"/>
    <col min="10" max="10" width="20.33203125" customWidth="1"/>
  </cols>
  <sheetData>
    <row r="1" spans="1:10" x14ac:dyDescent="0.3">
      <c r="A1" s="21"/>
      <c r="B1" s="21"/>
      <c r="C1" s="21"/>
      <c r="D1" s="21"/>
    </row>
    <row r="5" spans="1:10" x14ac:dyDescent="0.3">
      <c r="A5" s="22"/>
    </row>
    <row r="8" spans="1:10" x14ac:dyDescent="0.3">
      <c r="C8" s="20" t="s">
        <v>13</v>
      </c>
      <c r="D8" s="20" t="s">
        <v>7</v>
      </c>
      <c r="E8" s="20" t="s">
        <v>9</v>
      </c>
      <c r="F8" s="20" t="s">
        <v>14</v>
      </c>
    </row>
    <row r="9" spans="1:10" x14ac:dyDescent="0.3">
      <c r="C9" s="3" t="s">
        <v>15</v>
      </c>
      <c r="D9" s="3">
        <v>216.67</v>
      </c>
      <c r="E9" s="3">
        <v>408</v>
      </c>
      <c r="F9" s="3" t="s">
        <v>16</v>
      </c>
      <c r="H9" s="20"/>
      <c r="J9" s="20" t="s">
        <v>9</v>
      </c>
    </row>
    <row r="10" spans="1:10" x14ac:dyDescent="0.3">
      <c r="C10" s="3" t="s">
        <v>17</v>
      </c>
      <c r="D10" s="3">
        <v>250.77</v>
      </c>
      <c r="E10" s="3">
        <v>407</v>
      </c>
      <c r="F10" s="3" t="s">
        <v>18</v>
      </c>
      <c r="H10" s="3" t="s">
        <v>15</v>
      </c>
      <c r="J10" s="3">
        <v>408</v>
      </c>
    </row>
    <row r="11" spans="1:10" x14ac:dyDescent="0.3">
      <c r="C11" s="3" t="s">
        <v>19</v>
      </c>
      <c r="D11" s="3">
        <v>250.77</v>
      </c>
      <c r="E11" s="3">
        <v>468</v>
      </c>
      <c r="F11" s="3" t="s">
        <v>20</v>
      </c>
      <c r="H11" s="3" t="s">
        <v>17</v>
      </c>
      <c r="J11" s="3">
        <v>407</v>
      </c>
    </row>
    <row r="12" spans="1:10" x14ac:dyDescent="0.3">
      <c r="C12" s="18" t="s">
        <v>21</v>
      </c>
      <c r="D12" s="18">
        <v>237.87</v>
      </c>
      <c r="E12" s="3">
        <v>407</v>
      </c>
      <c r="F12" s="18" t="s">
        <v>22</v>
      </c>
      <c r="H12" s="3" t="s">
        <v>19</v>
      </c>
      <c r="J12" s="3">
        <v>468</v>
      </c>
    </row>
    <row r="13" spans="1:10" ht="43.2" x14ac:dyDescent="0.3">
      <c r="H13" s="18" t="s">
        <v>21</v>
      </c>
      <c r="J13" s="3">
        <v>407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SPT</vt:lpstr>
      <vt:lpstr>EDD</vt:lpstr>
      <vt:lpstr>HYBRID</vt:lpstr>
      <vt:lpstr>NORMALIZED HYBRID</vt:lpstr>
      <vt:lpstr>RESULTS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Meghana J</dc:creator>
  <cp:keywords/>
  <dc:description/>
  <cp:lastModifiedBy>Meghana J</cp:lastModifiedBy>
  <cp:revision/>
  <dcterms:created xsi:type="dcterms:W3CDTF">2026-03-23T16:44:46Z</dcterms:created>
  <dcterms:modified xsi:type="dcterms:W3CDTF">2026-04-08T16:08:44Z</dcterms:modified>
  <cp:category/>
  <cp:contentStatus/>
</cp:coreProperties>
</file>